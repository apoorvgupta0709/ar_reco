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20c1623b07a11/Documents/Apoorv/House Documents/Accounts/"/>
    </mc:Choice>
  </mc:AlternateContent>
  <xr:revisionPtr revIDLastSave="239" documentId="8_{3A004ED3-E1B7-FB4F-9140-4A73937A4C1E}" xr6:coauthVersionLast="47" xr6:coauthVersionMax="47" xr10:uidLastSave="{65A667E9-3CC2-914C-8EC3-7CC1E033EC35}"/>
  <bookViews>
    <workbookView xWindow="0" yWindow="760" windowWidth="30240" windowHeight="17520" activeTab="1" xr2:uid="{9408D139-09DD-FF4A-9664-30C3BD4E6547}"/>
  </bookViews>
  <sheets>
    <sheet name="old" sheetId="1" r:id="rId1"/>
    <sheet name="new" sheetId="2" r:id="rId2"/>
    <sheet name="BOB" sheetId="3" r:id="rId3"/>
    <sheet name="Sobh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E8" i="2"/>
  <c r="H11" i="3"/>
  <c r="E15" i="3"/>
  <c r="F22" i="3"/>
  <c r="AI21" i="3"/>
  <c r="AE24" i="3"/>
  <c r="F21" i="3" s="1"/>
  <c r="AA13" i="3"/>
  <c r="E21" i="3" s="1"/>
  <c r="E22" i="3"/>
  <c r="W26" i="3"/>
  <c r="F15" i="3" s="1"/>
  <c r="W18" i="3"/>
  <c r="E16" i="3"/>
  <c r="M22" i="3"/>
  <c r="E11" i="3" s="1"/>
  <c r="W13" i="3"/>
  <c r="E10" i="3" s="1"/>
  <c r="R37" i="3"/>
  <c r="F10" i="3" s="1"/>
  <c r="M16" i="3"/>
  <c r="F11" i="3" s="1"/>
  <c r="E15" i="2"/>
  <c r="M15" i="2" s="1"/>
  <c r="M16" i="2" s="1"/>
  <c r="M14" i="2"/>
  <c r="K14" i="2"/>
  <c r="J14" i="2"/>
  <c r="I14" i="2"/>
  <c r="E14" i="2"/>
  <c r="I10" i="2"/>
  <c r="H10" i="2"/>
  <c r="G10" i="2"/>
  <c r="F10" i="2"/>
  <c r="J9" i="2"/>
  <c r="I9" i="2"/>
  <c r="H9" i="2"/>
  <c r="F9" i="2"/>
  <c r="J8" i="2"/>
  <c r="I8" i="2"/>
  <c r="H8" i="2"/>
  <c r="J7" i="2"/>
  <c r="I7" i="2"/>
  <c r="H7" i="2"/>
  <c r="F7" i="2" s="1"/>
  <c r="I10" i="1"/>
  <c r="H10" i="1"/>
  <c r="G10" i="1" s="1"/>
  <c r="F10" i="1" s="1"/>
  <c r="J8" i="1"/>
  <c r="I8" i="1"/>
  <c r="H8" i="1"/>
  <c r="F8" i="1" s="1"/>
  <c r="J7" i="1"/>
  <c r="K14" i="1"/>
  <c r="G22" i="3" l="1"/>
  <c r="G21" i="3"/>
  <c r="G16" i="3"/>
  <c r="G15" i="3"/>
  <c r="G11" i="3"/>
  <c r="G10" i="3"/>
  <c r="G12" i="3" s="1"/>
  <c r="I7" i="1"/>
  <c r="H7" i="1"/>
  <c r="F7" i="1" s="1"/>
  <c r="E14" i="1"/>
  <c r="G23" i="3" l="1"/>
  <c r="G17" i="3"/>
  <c r="E15" i="1"/>
  <c r="I9" i="1"/>
  <c r="H9" i="1"/>
  <c r="F9" i="1" s="1"/>
  <c r="I14" i="1"/>
  <c r="M14" i="1" s="1"/>
  <c r="J14" i="1"/>
  <c r="J9" i="1" l="1"/>
  <c r="M15" i="1"/>
  <c r="M16" i="1" s="1"/>
</calcChain>
</file>

<file path=xl/sharedStrings.xml><?xml version="1.0" encoding="utf-8"?>
<sst xmlns="http://schemas.openxmlformats.org/spreadsheetml/2006/main" count="548" uniqueCount="284">
  <si>
    <t>House</t>
  </si>
  <si>
    <t>Gurgaon</t>
  </si>
  <si>
    <t>Bangalore</t>
  </si>
  <si>
    <t>Total Cost</t>
  </si>
  <si>
    <t>Loan from Bank</t>
  </si>
  <si>
    <t>Advance Payment</t>
  </si>
  <si>
    <t>Advance Apoorv</t>
  </si>
  <si>
    <t>Advance Rupinder</t>
  </si>
  <si>
    <t>Xuv 700</t>
  </si>
  <si>
    <t>Tiago</t>
  </si>
  <si>
    <t>Apoorv</t>
  </si>
  <si>
    <t>Rupinder</t>
  </si>
  <si>
    <t>Advance BOB CY23</t>
  </si>
  <si>
    <t>Advance BOB CY24</t>
  </si>
  <si>
    <t>TDS Smartworld</t>
  </si>
  <si>
    <t>Advance XUV</t>
  </si>
  <si>
    <t>Advance EV</t>
  </si>
  <si>
    <t>Advance Smartworld</t>
  </si>
  <si>
    <t>Advance Sobha</t>
  </si>
  <si>
    <t>TDS Sobha</t>
  </si>
  <si>
    <t>Paid to Builder/Car</t>
  </si>
  <si>
    <t>Money transferred to BOB</t>
  </si>
  <si>
    <t>CY22-23</t>
  </si>
  <si>
    <t>CY24-25</t>
  </si>
  <si>
    <t>TRAN DATE</t>
  </si>
  <si>
    <t>VALUE DATE</t>
  </si>
  <si>
    <t>NARRATION</t>
  </si>
  <si>
    <t>WITHDRAWAL(DR)</t>
  </si>
  <si>
    <t>DEPOSIT(CR)</t>
  </si>
  <si>
    <t>31/08/2025</t>
  </si>
  <si>
    <t>NEFT-AXOMB24302112077-RUPINDER  SAINI</t>
  </si>
  <si>
    <t>03/08/2025</t>
  </si>
  <si>
    <t>NEFT-AXOMB21502094741-RUPINDER  SAINI</t>
  </si>
  <si>
    <t>30/06/2025</t>
  </si>
  <si>
    <t>NEFT-AXOMB18102068204-RUPINDER  SAINI</t>
  </si>
  <si>
    <t>09/06/2025</t>
  </si>
  <si>
    <t>NEFT-AXOMB16002000331-RUPINDER  SAINI</t>
  </si>
  <si>
    <t>01/05/2025</t>
  </si>
  <si>
    <t>NEFT-AXOMB12147545530-RUPINDER  SAINI</t>
  </si>
  <si>
    <t>08/04/2025</t>
  </si>
  <si>
    <t>NEFT-AXOMB09853070715-RUPINDER  SAINI</t>
  </si>
  <si>
    <t>28/02/2025</t>
  </si>
  <si>
    <t>NEFT-AXOMB05980831494-RUPINDER  SAINI</t>
  </si>
  <si>
    <t>01/02/2025</t>
  </si>
  <si>
    <t>NEFT-AXOMB03202445232-RUPINDER  SAINI</t>
  </si>
  <si>
    <t>01/01/2025</t>
  </si>
  <si>
    <t>NEFT-AXOMB00187553447-RUPINDER  SAINI</t>
  </si>
  <si>
    <t>07/12/2024</t>
  </si>
  <si>
    <t>IMPS/P2A/434211605636/RUPINDERSAINI/familyAXB9177</t>
  </si>
  <si>
    <t>09/10/2024</t>
  </si>
  <si>
    <t>IMPS/P2A/428312341120/RUPINDERSAINI/Othershomeloa</t>
  </si>
  <si>
    <t>06/10/2024</t>
  </si>
  <si>
    <t>IMPS/P2A/428011983097/RUPINDERSAINI/IMPSAXB917720</t>
  </si>
  <si>
    <t>30/05/2024</t>
  </si>
  <si>
    <t>IMPS/P2A/415115011080/RUPINDERSAINI/Othershomeloa</t>
  </si>
  <si>
    <t>04/04/2024</t>
  </si>
  <si>
    <t>NEFT-AXOMB09534311053-RUPINDER SAINI</t>
  </si>
  <si>
    <t>09/10/2025</t>
  </si>
  <si>
    <t>IMPS/P2A/528291744155/APOORVGUPTA/IMPSAXB91783859</t>
  </si>
  <si>
    <t>05/10/2025</t>
  </si>
  <si>
    <t>IMPS/P2A/527873648630/APOORVGUPTA/IMPSAXB91783859</t>
  </si>
  <si>
    <t>05/09/2025</t>
  </si>
  <si>
    <t>IMPS/P2A/524821386247/APOORVGUPTA/IMPSAXB91783859</t>
  </si>
  <si>
    <t>05/08/2025</t>
  </si>
  <si>
    <t>IMPS/P2A/521765762463/APOORVGUPTA/IMPSAXB91783859</t>
  </si>
  <si>
    <t>05/07/2025</t>
  </si>
  <si>
    <t>IMPS/P2A/518612969181/APOORVGUPTA/IMPSAXB91783859</t>
  </si>
  <si>
    <t>05/06/2025</t>
  </si>
  <si>
    <t>IMPS/P2A/515608146561/APOORVGUPTA/IMPSAXB91783859</t>
  </si>
  <si>
    <t>05/05/2025</t>
  </si>
  <si>
    <t>IMPS/P2A/512507189807/APOORVGUPTA/IMPSAXB91783859</t>
  </si>
  <si>
    <t>05/04/2025</t>
  </si>
  <si>
    <t>IMPS/P2A/509508432427/APOORVGUPTA/IMPSAXB91783859</t>
  </si>
  <si>
    <t>05/03/2025</t>
  </si>
  <si>
    <t>IMPS/P2A/506407763926/APOORVGUPTA/IMPSAXB91783859</t>
  </si>
  <si>
    <t>05/02/2025</t>
  </si>
  <si>
    <t>IMPS/P2A/503607628088/APOORVGUPTA/IMPSAXB91783859</t>
  </si>
  <si>
    <t>05/12/2024</t>
  </si>
  <si>
    <t>IMPS/P2A/434007097564/APOORVGUPTA/IMPSAXB91783859</t>
  </si>
  <si>
    <t>NEFT-AXOIR34098853242-APOORV GUPTA</t>
  </si>
  <si>
    <t>10/11/2024</t>
  </si>
  <si>
    <t>IMPS/P2A/431502511727/APOORVGUPTA/IMPSAXB91783859</t>
  </si>
  <si>
    <t>05/11/2024</t>
  </si>
  <si>
    <t>NEFT-AXOIR31089377453-APOORV GUPTA</t>
  </si>
  <si>
    <t>IMPS/P2A/428011982510/APOORVGUPTA/IMPSAXB91783859</t>
  </si>
  <si>
    <t>03/10/2024</t>
  </si>
  <si>
    <t>NEFT-AXOMB27715781929-APOORV GUPTA</t>
  </si>
  <si>
    <t>05/09/2024</t>
  </si>
  <si>
    <t>NEFT-AXOIR24948997748-APOORV GUPTA</t>
  </si>
  <si>
    <t>03/09/2024</t>
  </si>
  <si>
    <t>NEFT-AXOMB24726758060-APOORV GUPTA</t>
  </si>
  <si>
    <t>05/08/2024</t>
  </si>
  <si>
    <t>NEFT-AXOIR21818403366-APOORV GUPTA</t>
  </si>
  <si>
    <t>03/08/2024</t>
  </si>
  <si>
    <t>NEFT-AXOMB21698378976-APOORV GUPTA</t>
  </si>
  <si>
    <t>05/07/2024</t>
  </si>
  <si>
    <t>NEFT-AXOIR18796838645-APOORV GUPTA</t>
  </si>
  <si>
    <t>03/07/2024</t>
  </si>
  <si>
    <t>NEFT-AXOMB18575149587-APOORV GUPTA</t>
  </si>
  <si>
    <t>05/06/2024</t>
  </si>
  <si>
    <t>NEFT-AXOIR15703344228-APOORV GUPTA</t>
  </si>
  <si>
    <t>03/06/2024</t>
  </si>
  <si>
    <t>NEFT-AXOMB15584533043-APOORV GUPTA</t>
  </si>
  <si>
    <t>29/05/2024</t>
  </si>
  <si>
    <t>IMPS/P2A/415021300343/APOORVGUPTA/IMPSAXB91783859</t>
  </si>
  <si>
    <t>19/05/2024</t>
  </si>
  <si>
    <t>IMPS/P2A/414021075835/APOORVGUPTA/IMPSAXB91783859</t>
  </si>
  <si>
    <t>05/05/2024</t>
  </si>
  <si>
    <t>NEFT-AXOIR12613318844-APOORV GUPTA</t>
  </si>
  <si>
    <t>03/05/2024</t>
  </si>
  <si>
    <t>NEFT-AXOMB12496219264-APOORV GUPTA</t>
  </si>
  <si>
    <t>14/04/2024</t>
  </si>
  <si>
    <t>IMPS/P2A/410522205640/APOORVGUPTA/IMPSAXB91783859</t>
  </si>
  <si>
    <t>03/04/2024</t>
  </si>
  <si>
    <t>NEFT-AXOMB09425966293-APOORV GUPTA</t>
  </si>
  <si>
    <t>07/03/2024</t>
  </si>
  <si>
    <t>IMPS/P2A/406706059868/APOORVGUPTA/IMPSAXB91783859</t>
  </si>
  <si>
    <t>06/03/2024</t>
  </si>
  <si>
    <t>IMPS/P2A/406615091136/APOORVGUPTA/IMPSAXB91783859</t>
  </si>
  <si>
    <t>04/03/2024</t>
  </si>
  <si>
    <t>03/03/2024</t>
  </si>
  <si>
    <t>NEFT-AXOMB40632367275-APOORV GUPTA</t>
  </si>
  <si>
    <t>02/02/2024</t>
  </si>
  <si>
    <t>NEFT-AXOMB40320050344-APOORV GUPTA</t>
  </si>
  <si>
    <t>03/01/2024</t>
  </si>
  <si>
    <t>NEFT-AXOMB40039887153-APOORV GUPTA</t>
  </si>
  <si>
    <t>04/10/2023</t>
  </si>
  <si>
    <t>NEFT-AXOMB32770107107-APOORV GUPTA</t>
  </si>
  <si>
    <t>04/09/2023</t>
  </si>
  <si>
    <t>NEFT-AXOMB32479288211-APOORV GUPTA</t>
  </si>
  <si>
    <t>04/08/2023</t>
  </si>
  <si>
    <t>NEFT-AXOMB32160585155-APOORV GUPTA</t>
  </si>
  <si>
    <t>10/07/2023</t>
  </si>
  <si>
    <t>09/07/2023</t>
  </si>
  <si>
    <t>IMPS/P2A/319016245986/APOORVGUPTA/IMPSAXB91783859</t>
  </si>
  <si>
    <t>04/07/2023</t>
  </si>
  <si>
    <t>NEFT-AXMB231853854891-APOORV GUPTA</t>
  </si>
  <si>
    <t>19/06/2023</t>
  </si>
  <si>
    <t>18/06/2023</t>
  </si>
  <si>
    <t>IMPS/P2A/316915387096/APOORVGUPTA/IMPSAXB91783859</t>
  </si>
  <si>
    <t>05/06/2023</t>
  </si>
  <si>
    <t>04/06/2023</t>
  </si>
  <si>
    <t>IMPS/P2A/315510734971/APOORVGUPTA/NAAXB9178385977</t>
  </si>
  <si>
    <t>05/05/2023</t>
  </si>
  <si>
    <t>04/05/2023</t>
  </si>
  <si>
    <t>IMPS/P2A/312423916587/APOORVGUPTA/NAAXB9178385977</t>
  </si>
  <si>
    <t>10/04/2023</t>
  </si>
  <si>
    <t>IMPS/P2A/310007513119/APOORVGUPTA/NAAXB9178385977</t>
  </si>
  <si>
    <t>04/04/2023</t>
  </si>
  <si>
    <t>NEFT-AXMB230947278110-APOORV GUPTA</t>
  </si>
  <si>
    <t>21/03/2023</t>
  </si>
  <si>
    <t>IMPS/P2A/308017517471/APOORVGUPTA/-AXB91783859770</t>
  </si>
  <si>
    <t>NEFT-AXOMB32160620491-RUPINDER SAINI</t>
  </si>
  <si>
    <t>24/07/2023</t>
  </si>
  <si>
    <t>NEFT-AXOMB32053817496-RUPINDER SAINI</t>
  </si>
  <si>
    <t>Money withdrawn from BOB</t>
  </si>
  <si>
    <t>11/08/2023</t>
  </si>
  <si>
    <t>NEFT-BARBT23223254798-APOORV AXIS-AXIS  BANK LTD.</t>
  </si>
  <si>
    <t>NEFT-BARBU23216291794-APOORV AXIS-AXIS  BANK LTD.</t>
  </si>
  <si>
    <t>10/06/2024</t>
  </si>
  <si>
    <t>NEFT-BARBT24162593506-APOORV AXIS-AXIS  BANK LTD.</t>
  </si>
  <si>
    <t>NEFT-BARBV24157048983-APOORV AXIS-AXIS  BANK LTD.</t>
  </si>
  <si>
    <t>01/06/2024</t>
  </si>
  <si>
    <t>NEFT-BARBZ24153837321-APOORV AXIS-AXIS  BANK LTD.</t>
  </si>
  <si>
    <t>18/05/2024</t>
  </si>
  <si>
    <t>NEFT-BARBW24139463876-APOORV AXIS-AXIS  BANK LTD.</t>
  </si>
  <si>
    <t>01/05/2024</t>
  </si>
  <si>
    <t>NEFT-BARBW24122239204-APOORV AXIS-AXIS  BANK LTD.</t>
  </si>
  <si>
    <t>Loan Payments</t>
  </si>
  <si>
    <t>08/12/2023</t>
  </si>
  <si>
    <t>Loan Coll. From78770100030383</t>
  </si>
  <si>
    <t>10/11/2023</t>
  </si>
  <si>
    <t>10/10/2023</t>
  </si>
  <si>
    <t>08/09/2023</t>
  </si>
  <si>
    <t>10/08/2023</t>
  </si>
  <si>
    <t>Loan Recovery From :78770100030383</t>
  </si>
  <si>
    <t>26/07/2023</t>
  </si>
  <si>
    <t>09/06/2023</t>
  </si>
  <si>
    <t>10/05/2023</t>
  </si>
  <si>
    <t>10/10/2025</t>
  </si>
  <si>
    <t>10/09/2025</t>
  </si>
  <si>
    <t>10/08/2025</t>
  </si>
  <si>
    <t>10/07/2025</t>
  </si>
  <si>
    <t>10/06/2025</t>
  </si>
  <si>
    <t>10/05/2025</t>
  </si>
  <si>
    <t>10/04/2025</t>
  </si>
  <si>
    <t>10/03/2025</t>
  </si>
  <si>
    <t>10/02/2025</t>
  </si>
  <si>
    <t>10/01/2025</t>
  </si>
  <si>
    <t>10/12/2024</t>
  </si>
  <si>
    <t>10/10/2024</t>
  </si>
  <si>
    <t>10/09/2024</t>
  </si>
  <si>
    <t>10/08/2024</t>
  </si>
  <si>
    <t>10/07/2024</t>
  </si>
  <si>
    <t>10/05/2024</t>
  </si>
  <si>
    <t>10/04/2024</t>
  </si>
  <si>
    <t>08/03/2024</t>
  </si>
  <si>
    <t>09/02/2024</t>
  </si>
  <si>
    <t>10/01/2024</t>
  </si>
  <si>
    <t>Ledger Summary Report As On 11-Oct-2025</t>
  </si>
  <si>
    <t>Project:</t>
  </si>
  <si>
    <t>Sobha Dream Gardens Phase 3 Wing-3</t>
  </si>
  <si>
    <t>Unit Value:</t>
  </si>
  <si>
    <t>Customer Name:</t>
  </si>
  <si>
    <t>RUPINDER SAINI</t>
  </si>
  <si>
    <t>Tax:</t>
  </si>
  <si>
    <t>Unit No:</t>
  </si>
  <si>
    <t>B-3202</t>
  </si>
  <si>
    <t>Total Value:</t>
  </si>
  <si>
    <t>Sale Area (sq ft):</t>
  </si>
  <si>
    <t>Date</t>
  </si>
  <si>
    <t>Type</t>
  </si>
  <si>
    <t>Due date</t>
  </si>
  <si>
    <t>Value date</t>
  </si>
  <si>
    <t>Narration</t>
  </si>
  <si>
    <t>Debit</t>
  </si>
  <si>
    <t>Credit</t>
  </si>
  <si>
    <t>amount</t>
  </si>
  <si>
    <t>Receipts</t>
  </si>
  <si>
    <t>On A/C of Client Receipt of Unit : B-3202, CC : CC41792, Block : Wing 3 AT Sobha Dream Gardens Phase 3 Wing 3 and 4(T Credited on 06/02/2024) - Wire Transfer : EDC/00330-00330-/M037244021450025 / 403611272647- Dated : 06/02/2024 - Bank : Wire Transfer</t>
  </si>
  <si>
    <t>On A/C of Client Receipt of Unit : B-3202, CC : CC41792, Block : Wing 3 AT Sobha Dream Gardens Phase 3 Wing 3 and 4(T Credited on 07/02/2024) - Wire Transfer : RTGS/ICICR22024020701726913/ICICI BANK NODAL AC IN/ICICI BANK LIMITED// 113168047083- Dated : 07/02/2024 - Bank : Wire Transfer</t>
  </si>
  <si>
    <t>On A/C of Client Receipt of Unit : B-3202, CC : CC41792, Block : Wing 3 AT Sobha Dream Gardens Phase 3 Wing 3 and 4(T Credited on 06/02/2024) - Wire Transfer : EDC/00330-00330-/M037244021450025 / 403611274126- Dated : 06/02/2024 - Bank : Wire Transfer</t>
  </si>
  <si>
    <t>Installment</t>
  </si>
  <si>
    <t>Booking Amount</t>
  </si>
  <si>
    <t>On A/C of Client Receipt of Unit : B-3202, CC : CC41792, Block : Wing 3 AT Sobha Dream Gardens Phase 3 Wing 3 and 4 (T-Credited on 12-02-2024) - Wire Transfer : BY TRANSFER-NEFT*UTIB0000005*AXOMB40430713785*RUPINDER SAINI*O--- Dated : 12/02/2024 - Bank : Wire Transfer</t>
  </si>
  <si>
    <t>On Completion of Eighth Floor Roof Slab</t>
  </si>
  <si>
    <t>On Completion of Foundation Works</t>
  </si>
  <si>
    <t>On Completion of Fourth Floor Roof Slab</t>
  </si>
  <si>
    <t>On Completion of Ground Floor Slab</t>
  </si>
  <si>
    <t>Payable within 30 days from Booking Date</t>
  </si>
  <si>
    <t>On A/C of Client Receipt of Unit : B-3202, CC : CC41792, Block : Wing 3 AT Sobha Dream Gardens Phase 3 Wing 3 and 4 (T-Credited on 13/03/2024) - Wire Transfer : BY TRANSFER-RTGS UTR NO: BARBR52024031300826827--APOORV GUPTA- Dated : 13/03/2024 - Bank : Wire Transfer</t>
  </si>
  <si>
    <t>On Completion of Twelfth Floor Roof Slab</t>
  </si>
  <si>
    <t>On A/C of Client Receipt of Unit : B-3202, CC : CC41792, Block : Wing 3 AT Sobha Dream Gardens Phase 3 Wing 3 and 4 (T-Credited on 16/04/2024) - Wire Transfer : BY TRANSFER-RTGS UTR NO: BARBR52024041600780307--APOORV GUPTA AND RUPINDER SAINI- Dated : 16/04/2024 - Bank : Wire Transfer</t>
  </si>
  <si>
    <t>Interest</t>
  </si>
  <si>
    <t>Interest charged for the period of 01-APR-24-30-APR-24 (From day(s) 0 To day(s) 60) 10.35% - on 6658.522 for 3 day(s)3</t>
  </si>
  <si>
    <t>On Completion of Sixteenth Floor Roof Slab</t>
  </si>
  <si>
    <t>Interest charged for the period of 01-MAY-24-31-MAY-24 (From day(s) 0 To day(s) 60) 10.35% - on 6658.522 for 9 day(s)34</t>
  </si>
  <si>
    <t>On A/C of Client Receipt of Unit : B-3202, CC : CC41792, Block : Wing 3 AT Sobha Dream Gardens Phase 3 Wing 3 and 4 (T-Credited On 31/05/2024) - Wire Transfer : BY TRANSFER-RTGS UTR NO: BARBR52024053100991634--APOORV GUPTA- Dated : 31/05/2024 - Bank : Wire Transfer</t>
  </si>
  <si>
    <t>On Completion of Twentieth Floor Roof Slab</t>
  </si>
  <si>
    <t>Interest charged for the period of 01-JUN-24-30-JUN-24 (From day(s) 0 To day(s) 60) 10.35% - on 6604.07 for 13 day(s)0</t>
  </si>
  <si>
    <t>On A/C of Client Receipt of Unit : B-3202, CC : CC41792, Block : Wing 3 AT Sobha Dream Gardens Phase 3 Wing 3 and 4 (T-Credited on 12-07-2024) - Wire Transfer : BY TRANSFER-RTGS UTR NO: BARBR52024071200770243--APOORV GUPTA- Dated : 12/07/2024 - Bank : Wire Transfer</t>
  </si>
  <si>
    <t>On Completion of Terrace Slab</t>
  </si>
  <si>
    <t>Interest charged for the period of 01-JUL-24-31-JUL-24 (From day(s) 0 To day(s) 60) 10.35% - on 7640.558 for 12 day(s)12</t>
  </si>
  <si>
    <t>Tax</t>
  </si>
  <si>
    <t>Initial Payment - GST</t>
  </si>
  <si>
    <t>Payable within 30 DAYS from Booking date (Less Booking Amount) - GST</t>
  </si>
  <si>
    <t>On Completion of Eighth Floor Roof Slab - GST</t>
  </si>
  <si>
    <t>On Completion of Foundation Works - GST</t>
  </si>
  <si>
    <t>On Completion of Fourth Floor Roof Slab - GST</t>
  </si>
  <si>
    <t>On Completion of Ground Floor Roof Slab - GST</t>
  </si>
  <si>
    <t>On Completion of Twelfth Floor Roof Slab - GST</t>
  </si>
  <si>
    <t>On Completion of Sixteenth Floor Roof Slab - GST</t>
  </si>
  <si>
    <t>On Completion of Twentieth Floor Roof Slab - GST</t>
  </si>
  <si>
    <t>On Completion of Terrace Slab - GST</t>
  </si>
  <si>
    <t>Adjustment</t>
  </si>
  <si>
    <t>Being Franking Amount Accounted</t>
  </si>
  <si>
    <t>TDS</t>
  </si>
  <si>
    <t>Being the amount credited on payment of 1% TDS</t>
  </si>
  <si>
    <t>On A/C of Client Receipt of Unit : , CC : REL-CST-000041792, Block : Sobha Dream Gardens Phase 3 Wing-3(T-Credited On 13-08-2024) - Wire : BY TRANSFER-RTGS UTR NO: BARBR52024 BANK SBI-Sobha Dream Gardens Phase 1 Wing 8&amp;9-38492986135 AC IN / 38492986135 - Dated : 13-08-2024 - Bank : Wire</t>
  </si>
  <si>
    <t>On A/C Of Completion of On Completion of Internal Flooring in all the Apartments excluding ,Balconies, Utilities, Common Ar</t>
  </si>
  <si>
    <t>SGST charges : On Completion of Internal Flooring in all the Apartments excluding ,Balconies, Utilities, Common Ar</t>
  </si>
  <si>
    <t>CGST charges : On Completion of Internal Flooring in all the Apartments excluding ,Balconies, Utilities, Common Ar</t>
  </si>
  <si>
    <t>On A/C Of Completion of On Final Payment Request Letter Dream Gardens B 2BHK / Dream Gardens B 2BHK</t>
  </si>
  <si>
    <t>On A/C Of Completion of On Final Payment Request Letter Development and Infrastructure Works</t>
  </si>
  <si>
    <t>On A/C Of Completion of On Final Payment Request Letter Bescom Charges and Deposit</t>
  </si>
  <si>
    <t>On A/C Of Completion of On Final Payment Request Letter Maintenance Deposit</t>
  </si>
  <si>
    <t>On A/C Of Completion of On Final Payment Request Letter Electrical Consumption Deposit</t>
  </si>
  <si>
    <t>On A/C Of Completion of On Final Payment Request Letter Infra and Dev Charges for Piped Natural Gas Connection</t>
  </si>
  <si>
    <t>On A/C Of Completion of On Final Payment Request Letter Deposit towards Piped Natural Gas Connection</t>
  </si>
  <si>
    <t>SGST charges : On Final Payment Request Letter Dream Gardens B 2BHK / Dream Gardens B 2BHK</t>
  </si>
  <si>
    <t>CGST charges : On Final Payment Request Letter Dream Gardens B 2BHK / Dream Gardens B 2BHK</t>
  </si>
  <si>
    <t>SGST charges : On Final Payment Request Letter Development and Infrastructure Works</t>
  </si>
  <si>
    <t>CGST charges : On Final Payment Request Letter Development and Infrastructure Works</t>
  </si>
  <si>
    <t>SGST Charges Infrastructure and Development Charges for Piped Natural Gas Connection per unit in Capital Contribution</t>
  </si>
  <si>
    <t>CGST Charges Infrastructure and Development Charges for Piped Natural Gas Connection per unit in Capital Contribution</t>
  </si>
  <si>
    <t>On A/C of Client Receipt of Unit : B-3202, CC : REL-CST-000041792, Block : Sobha Dream Gardens Phase 3 Wing-3(T-Credited On 14-04-2025) - Wire : BY TRANSFER-RTGS UTR NO: BARBR52025041100929595--APOORV GUPTA BANK SBI-Sobha Dream Gardens Phase 1 Wing 8&amp;9-38492986135 AC IN / 38492986135 - Dated : 14-04-2025 - Bank : Wire</t>
  </si>
  <si>
    <t>On A/C of Client Receipt of Unit : B-3202, CC : REL-CST-000041792, Block : Sobha Dream Gardens Phase 3 Wing-3(T-Credited On 24-04-2025) - Wire : BY TRANSFER-RTGS UTR NO: BARBR52025042300978712--APOORV GUPTA BANK SBI-Sobha Dream Gardens Phase 1 Wing 8&amp;9-38492986135 AC IN / 38492986135 - Dated : 24-04-2025 - Bank : Wire</t>
  </si>
  <si>
    <t>Being the amount credited on payment of 1% TDS - HSSJQKA</t>
  </si>
  <si>
    <t>Being the amount credited on payment of 1% TDS - HSSFOZA</t>
  </si>
  <si>
    <t>Being the amount credited on payment of 1% TDS - HSSECLA</t>
  </si>
  <si>
    <t>Being the amount credited on payment of 1% TDS - HLYLEGA</t>
  </si>
  <si>
    <t>Being Interest on TDS Reversed</t>
  </si>
  <si>
    <t>Balance Amount :</t>
  </si>
  <si>
    <t>02.75 (Dr)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</si>
</sst>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4" formatCode="_(&quot;₹&quot;* #,##0_);_(&quot;₹&quot;* \(#,##0\);_(&quot;₹&quot;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0"/>
      <color indexed="72"/>
      <name val="Arial"/>
      <family val="2"/>
    </font>
    <font>
      <sz val="10"/>
      <color indexed="72"/>
      <name val="SansSerif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  <border>
      <left/>
      <right/>
      <top style="medium">
        <color indexed="31"/>
      </top>
      <bottom style="medium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44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4" fontId="4" fillId="3" borderId="2" xfId="0" applyNumberFormat="1" applyFont="1" applyFill="1" applyBorder="1" applyAlignment="1">
      <alignment vertical="center" wrapText="1"/>
    </xf>
    <xf numFmtId="4" fontId="4" fillId="3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" fontId="0" fillId="0" borderId="0" xfId="0" applyNumberFormat="1"/>
    <xf numFmtId="0" fontId="3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2" fillId="0" borderId="0" xfId="0" applyFont="1"/>
    <xf numFmtId="4" fontId="2" fillId="0" borderId="0" xfId="0" applyNumberFormat="1" applyFont="1"/>
    <xf numFmtId="44" fontId="2" fillId="0" borderId="0" xfId="1" applyFont="1"/>
    <xf numFmtId="44" fontId="0" fillId="0" borderId="4" xfId="1" applyFont="1" applyBorder="1"/>
    <xf numFmtId="0" fontId="2" fillId="0" borderId="4" xfId="0" applyFont="1" applyBorder="1"/>
    <xf numFmtId="0" fontId="5" fillId="2" borderId="1" xfId="0" applyFont="1" applyFill="1" applyBorder="1" applyAlignment="1">
      <alignment horizontal="left" vertical="top" wrapText="1"/>
    </xf>
    <xf numFmtId="44" fontId="0" fillId="0" borderId="0" xfId="0" applyNumberFormat="1"/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7" fillId="0" borderId="10" xfId="0" applyFont="1" applyBorder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14" fontId="7" fillId="0" borderId="10" xfId="0" applyNumberFormat="1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4" fontId="8" fillId="0" borderId="10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F47-FE49-D241-830B-D63763B62B06}">
  <dimension ref="D6:M16"/>
  <sheetViews>
    <sheetView zoomScale="190" zoomScaleNormal="190" workbookViewId="0">
      <selection activeCell="G8" sqref="G8"/>
    </sheetView>
  </sheetViews>
  <sheetFormatPr baseColWidth="10" defaultRowHeight="16"/>
  <cols>
    <col min="5" max="6" width="15.6640625" bestFit="1" customWidth="1"/>
    <col min="7" max="7" width="18" bestFit="1" customWidth="1"/>
    <col min="8" max="9" width="14.1640625" bestFit="1" customWidth="1"/>
    <col min="10" max="10" width="14" bestFit="1" customWidth="1"/>
    <col min="11" max="11" width="13" bestFit="1" customWidth="1"/>
    <col min="12" max="13" width="11.5" bestFit="1" customWidth="1"/>
  </cols>
  <sheetData>
    <row r="6" spans="4:13">
      <c r="D6" t="s">
        <v>0</v>
      </c>
      <c r="E6" t="s">
        <v>3</v>
      </c>
      <c r="F6" t="s">
        <v>20</v>
      </c>
      <c r="G6" t="s">
        <v>4</v>
      </c>
      <c r="H6" t="s">
        <v>5</v>
      </c>
      <c r="I6" t="s">
        <v>6</v>
      </c>
      <c r="J6" t="s">
        <v>7</v>
      </c>
    </row>
    <row r="7" spans="4:13">
      <c r="D7" t="s">
        <v>1</v>
      </c>
      <c r="E7" s="2">
        <v>37200000</v>
      </c>
      <c r="F7" s="2">
        <f>G7+H7</f>
        <v>11054104</v>
      </c>
      <c r="G7" s="2">
        <v>7310797</v>
      </c>
      <c r="H7" s="2">
        <f>G14+G15+K14</f>
        <v>3743307</v>
      </c>
      <c r="I7" s="2">
        <f>G14+K14</f>
        <v>1588399</v>
      </c>
      <c r="J7" s="2">
        <f>G15</f>
        <v>2154908</v>
      </c>
    </row>
    <row r="8" spans="4:13">
      <c r="D8" t="s">
        <v>2</v>
      </c>
      <c r="E8" s="2">
        <v>9800000</v>
      </c>
      <c r="F8" s="2">
        <f t="shared" ref="F8:F10" si="0">G8+H8</f>
        <v>8336221</v>
      </c>
      <c r="G8" s="2">
        <v>6238630</v>
      </c>
      <c r="H8" s="2">
        <f>H14+H15+L14+L15</f>
        <v>2097591</v>
      </c>
      <c r="I8" s="2">
        <f>H14+L14</f>
        <v>1276209</v>
      </c>
      <c r="J8" s="2">
        <f>H15+L15</f>
        <v>821382</v>
      </c>
    </row>
    <row r="9" spans="4:13">
      <c r="D9" t="s">
        <v>8</v>
      </c>
      <c r="E9" s="2">
        <v>2650000</v>
      </c>
      <c r="F9" s="2">
        <f t="shared" si="0"/>
        <v>2553000</v>
      </c>
      <c r="G9" s="2">
        <v>0</v>
      </c>
      <c r="H9" s="2">
        <f>E14+E15</f>
        <v>2553000</v>
      </c>
      <c r="I9" s="2">
        <f>E14</f>
        <v>260000</v>
      </c>
      <c r="J9" s="2">
        <f>E15</f>
        <v>2293000</v>
      </c>
    </row>
    <row r="10" spans="4:13">
      <c r="D10" t="s">
        <v>9</v>
      </c>
      <c r="E10" s="2">
        <v>1150000</v>
      </c>
      <c r="F10" s="2">
        <f t="shared" si="0"/>
        <v>1150000</v>
      </c>
      <c r="G10" s="2">
        <f>E10-H10</f>
        <v>1000000</v>
      </c>
      <c r="H10" s="2">
        <f>F14</f>
        <v>150000</v>
      </c>
      <c r="I10" s="2">
        <f>F14</f>
        <v>150000</v>
      </c>
      <c r="J10" s="2"/>
    </row>
    <row r="13" spans="4:13">
      <c r="E13" t="s">
        <v>15</v>
      </c>
      <c r="F13" t="s">
        <v>16</v>
      </c>
      <c r="G13" t="s">
        <v>17</v>
      </c>
      <c r="H13" t="s">
        <v>18</v>
      </c>
      <c r="I13" t="s">
        <v>12</v>
      </c>
      <c r="J13" t="s">
        <v>13</v>
      </c>
      <c r="K13" t="s">
        <v>14</v>
      </c>
      <c r="L13" t="s">
        <v>19</v>
      </c>
    </row>
    <row r="14" spans="4:13">
      <c r="D14" t="s">
        <v>10</v>
      </c>
      <c r="E14" s="2">
        <f>260000</f>
        <v>260000</v>
      </c>
      <c r="F14" s="2">
        <v>150000</v>
      </c>
      <c r="G14" s="2">
        <v>1450000</v>
      </c>
      <c r="H14" s="2">
        <v>1201805</v>
      </c>
      <c r="I14" s="2">
        <f>479612-57911</f>
        <v>421701</v>
      </c>
      <c r="J14" s="2">
        <f>1557354-177000</f>
        <v>1380354</v>
      </c>
      <c r="K14" s="2">
        <f>1005+19962+7927+38408+5000+42362+7703+7626+7616+790</f>
        <v>138399</v>
      </c>
      <c r="L14" s="1">
        <v>74404</v>
      </c>
      <c r="M14" s="3">
        <f>SUM(E14:L14)</f>
        <v>5076663</v>
      </c>
    </row>
    <row r="15" spans="4:13">
      <c r="D15" t="s">
        <v>11</v>
      </c>
      <c r="E15" s="2">
        <f>1454000+1099000-E14</f>
        <v>2293000</v>
      </c>
      <c r="F15">
        <v>0</v>
      </c>
      <c r="G15" s="2">
        <v>2154908</v>
      </c>
      <c r="H15" s="2">
        <v>813250</v>
      </c>
      <c r="I15" s="2">
        <v>300200</v>
      </c>
      <c r="J15" s="2">
        <v>610000</v>
      </c>
      <c r="L15" s="1">
        <v>8132</v>
      </c>
      <c r="M15" s="3">
        <f>SUM(E15:L15)</f>
        <v>6179490</v>
      </c>
    </row>
    <row r="16" spans="4:13">
      <c r="M16" s="3">
        <f>M15-M14</f>
        <v>1102827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FC7-1E2B-1940-AEEB-5A104E09987D}">
  <dimension ref="D6:M16"/>
  <sheetViews>
    <sheetView tabSelected="1" topLeftCell="B1" zoomScale="190" zoomScaleNormal="190" workbookViewId="0">
      <selection activeCell="G8" sqref="G8"/>
    </sheetView>
  </sheetViews>
  <sheetFormatPr baseColWidth="10" defaultRowHeight="16"/>
  <cols>
    <col min="5" max="6" width="15.6640625" bestFit="1" customWidth="1"/>
    <col min="7" max="7" width="18" bestFit="1" customWidth="1"/>
    <col min="8" max="9" width="14.1640625" bestFit="1" customWidth="1"/>
    <col min="10" max="10" width="14" bestFit="1" customWidth="1"/>
    <col min="11" max="11" width="13" bestFit="1" customWidth="1"/>
    <col min="12" max="13" width="11.5" bestFit="1" customWidth="1"/>
  </cols>
  <sheetData>
    <row r="6" spans="4:13">
      <c r="D6" t="s">
        <v>0</v>
      </c>
      <c r="E6" t="s">
        <v>3</v>
      </c>
      <c r="F6" t="s">
        <v>20</v>
      </c>
      <c r="G6" t="s">
        <v>4</v>
      </c>
      <c r="H6" t="s">
        <v>5</v>
      </c>
      <c r="I6" t="s">
        <v>6</v>
      </c>
      <c r="J6" t="s">
        <v>7</v>
      </c>
    </row>
    <row r="7" spans="4:13">
      <c r="D7" t="s">
        <v>1</v>
      </c>
      <c r="E7" s="2">
        <v>37200000</v>
      </c>
      <c r="F7" s="2">
        <f>G7+H7</f>
        <v>11054104</v>
      </c>
      <c r="G7" s="2">
        <v>7310797</v>
      </c>
      <c r="H7" s="2">
        <f>G14+G15+K14</f>
        <v>3743307</v>
      </c>
      <c r="I7" s="2">
        <f>G14+K14</f>
        <v>1588399</v>
      </c>
      <c r="J7" s="2">
        <f>G15</f>
        <v>2154908</v>
      </c>
    </row>
    <row r="8" spans="4:13">
      <c r="D8" t="s">
        <v>2</v>
      </c>
      <c r="E8" s="2">
        <f>Sobha!F74</f>
        <v>9877001.4000000004</v>
      </c>
      <c r="F8" s="2">
        <f>Sobha!G74</f>
        <v>9876998.6500000004</v>
      </c>
      <c r="G8" s="2">
        <v>7755997</v>
      </c>
      <c r="H8" s="2">
        <f>H14+H15+L14+L15</f>
        <v>2097591</v>
      </c>
      <c r="I8" s="2">
        <f>H14+L14</f>
        <v>1276209</v>
      </c>
      <c r="J8" s="2">
        <f>H15+L15</f>
        <v>821382</v>
      </c>
    </row>
    <row r="9" spans="4:13">
      <c r="D9" t="s">
        <v>8</v>
      </c>
      <c r="E9" s="2">
        <v>2650000</v>
      </c>
      <c r="F9" s="2">
        <f t="shared" ref="F8:F10" si="0">G9+H9</f>
        <v>2553000</v>
      </c>
      <c r="G9" s="2">
        <v>0</v>
      </c>
      <c r="H9" s="2">
        <f>E14+E15</f>
        <v>2553000</v>
      </c>
      <c r="I9" s="2">
        <f>E14</f>
        <v>260000</v>
      </c>
      <c r="J9" s="2">
        <f>E15</f>
        <v>2293000</v>
      </c>
    </row>
    <row r="10" spans="4:13">
      <c r="D10" t="s">
        <v>9</v>
      </c>
      <c r="E10" s="2">
        <v>1150000</v>
      </c>
      <c r="F10" s="2">
        <f t="shared" si="0"/>
        <v>1150000</v>
      </c>
      <c r="G10" s="2">
        <f>E10-H10</f>
        <v>1000000</v>
      </c>
      <c r="H10" s="2">
        <f>F14</f>
        <v>150000</v>
      </c>
      <c r="I10" s="2">
        <f>F14</f>
        <v>150000</v>
      </c>
      <c r="J10" s="2"/>
    </row>
    <row r="13" spans="4:13">
      <c r="E13" t="s">
        <v>15</v>
      </c>
      <c r="F13" t="s">
        <v>16</v>
      </c>
      <c r="G13" t="s">
        <v>17</v>
      </c>
      <c r="H13" t="s">
        <v>18</v>
      </c>
      <c r="I13" t="s">
        <v>12</v>
      </c>
      <c r="J13" t="s">
        <v>13</v>
      </c>
      <c r="K13" t="s">
        <v>14</v>
      </c>
      <c r="L13" t="s">
        <v>19</v>
      </c>
    </row>
    <row r="14" spans="4:13">
      <c r="D14" t="s">
        <v>10</v>
      </c>
      <c r="E14" s="2">
        <f>260000</f>
        <v>260000</v>
      </c>
      <c r="F14" s="2">
        <v>150000</v>
      </c>
      <c r="G14" s="2">
        <v>1450000</v>
      </c>
      <c r="H14" s="2">
        <v>1201805</v>
      </c>
      <c r="I14" s="2">
        <f>479612-57911</f>
        <v>421701</v>
      </c>
      <c r="J14" s="2">
        <f>1557354-177000</f>
        <v>1380354</v>
      </c>
      <c r="K14" s="2">
        <f>1005+19962+7927+38408+5000+42362+7703+7626+7616+790</f>
        <v>138399</v>
      </c>
      <c r="L14" s="1">
        <v>74404</v>
      </c>
      <c r="M14" s="3">
        <f>SUM(E14:L14)</f>
        <v>5076663</v>
      </c>
    </row>
    <row r="15" spans="4:13">
      <c r="D15" t="s">
        <v>11</v>
      </c>
      <c r="E15" s="2">
        <f>1454000+1099000-E14</f>
        <v>2293000</v>
      </c>
      <c r="F15">
        <v>0</v>
      </c>
      <c r="G15" s="2">
        <v>2154908</v>
      </c>
      <c r="H15" s="2">
        <v>813250</v>
      </c>
      <c r="I15" s="2">
        <v>300200</v>
      </c>
      <c r="J15" s="2">
        <v>610000</v>
      </c>
      <c r="L15" s="1">
        <v>8132</v>
      </c>
      <c r="M15" s="3">
        <f>SUM(E15:L15)</f>
        <v>6179490</v>
      </c>
    </row>
    <row r="16" spans="4:13">
      <c r="M16" s="3">
        <f>M15-M14</f>
        <v>1102827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10B3-C539-A449-B916-A5B63510B1B5}">
  <dimension ref="D1:AI37"/>
  <sheetViews>
    <sheetView workbookViewId="0">
      <selection activeCell="H11" sqref="H11"/>
    </sheetView>
  </sheetViews>
  <sheetFormatPr baseColWidth="10" defaultRowHeight="16"/>
  <cols>
    <col min="4" max="4" width="24" bestFit="1" customWidth="1"/>
    <col min="5" max="5" width="12.5" bestFit="1" customWidth="1"/>
    <col min="6" max="7" width="14" bestFit="1" customWidth="1"/>
    <col min="8" max="8" width="12.5" bestFit="1" customWidth="1"/>
    <col min="10" max="10" width="10.6640625" bestFit="1" customWidth="1"/>
    <col min="11" max="11" width="11.83203125" bestFit="1" customWidth="1"/>
    <col min="12" max="12" width="50.6640625" bestFit="1" customWidth="1"/>
    <col min="13" max="13" width="12" bestFit="1" customWidth="1"/>
    <col min="15" max="15" width="10.6640625" bestFit="1" customWidth="1"/>
    <col min="16" max="16" width="11.83203125" bestFit="1" customWidth="1"/>
    <col min="17" max="17" width="52.83203125" bestFit="1" customWidth="1"/>
    <col min="18" max="18" width="12" bestFit="1" customWidth="1"/>
    <col min="21" max="21" width="11.83203125" bestFit="1" customWidth="1"/>
    <col min="22" max="22" width="53" bestFit="1" customWidth="1"/>
    <col min="26" max="26" width="32.83203125" bestFit="1" customWidth="1"/>
    <col min="30" max="30" width="27.83203125" bestFit="1" customWidth="1"/>
    <col min="31" max="31" width="12" bestFit="1" customWidth="1"/>
    <col min="33" max="33" width="10.1640625" bestFit="1" customWidth="1"/>
    <col min="34" max="34" width="27.83203125" bestFit="1" customWidth="1"/>
    <col min="35" max="35" width="12" bestFit="1" customWidth="1"/>
  </cols>
  <sheetData>
    <row r="1" spans="4:35" ht="17" customHeight="1" thickBot="1">
      <c r="J1" s="14" t="s">
        <v>24</v>
      </c>
      <c r="K1" s="4" t="s">
        <v>25</v>
      </c>
      <c r="L1" s="4" t="s">
        <v>26</v>
      </c>
      <c r="M1" s="8" t="s">
        <v>28</v>
      </c>
      <c r="O1" s="10" t="s">
        <v>24</v>
      </c>
      <c r="P1" s="5" t="s">
        <v>25</v>
      </c>
      <c r="Q1" s="16" t="s">
        <v>26</v>
      </c>
      <c r="R1" s="4" t="s">
        <v>28</v>
      </c>
      <c r="T1" s="10" t="s">
        <v>24</v>
      </c>
      <c r="U1" s="5" t="s">
        <v>25</v>
      </c>
      <c r="V1" s="4" t="s">
        <v>26</v>
      </c>
      <c r="W1" s="4" t="s">
        <v>28</v>
      </c>
      <c r="Y1" s="23"/>
      <c r="Z1" s="4" t="s">
        <v>26</v>
      </c>
      <c r="AA1" s="4" t="s">
        <v>28</v>
      </c>
      <c r="AC1" s="23"/>
      <c r="AD1" s="4" t="s">
        <v>26</v>
      </c>
      <c r="AE1" s="4" t="s">
        <v>28</v>
      </c>
      <c r="AG1" s="23"/>
      <c r="AH1" s="4" t="s">
        <v>26</v>
      </c>
      <c r="AI1" s="4" t="s">
        <v>28</v>
      </c>
    </row>
    <row r="2" spans="4:35" ht="17" customHeight="1" thickBot="1">
      <c r="J2" s="12" t="s">
        <v>29</v>
      </c>
      <c r="K2" s="13" t="s">
        <v>29</v>
      </c>
      <c r="L2" s="13" t="s">
        <v>30</v>
      </c>
      <c r="M2" s="7">
        <v>49000</v>
      </c>
      <c r="O2" s="11" t="s">
        <v>57</v>
      </c>
      <c r="P2" s="9" t="s">
        <v>57</v>
      </c>
      <c r="Q2" s="17" t="s">
        <v>58</v>
      </c>
      <c r="R2" s="6">
        <v>62000</v>
      </c>
      <c r="T2" s="11" t="s">
        <v>126</v>
      </c>
      <c r="U2" s="9" t="s">
        <v>126</v>
      </c>
      <c r="V2" s="13" t="s">
        <v>127</v>
      </c>
      <c r="W2" s="6">
        <v>55000</v>
      </c>
      <c r="Y2" s="11" t="s">
        <v>169</v>
      </c>
      <c r="Z2" s="13" t="s">
        <v>170</v>
      </c>
      <c r="AA2" s="6">
        <v>49654</v>
      </c>
      <c r="AC2" s="11" t="s">
        <v>179</v>
      </c>
      <c r="AD2" s="13" t="s">
        <v>170</v>
      </c>
      <c r="AE2" s="13">
        <v>238978</v>
      </c>
      <c r="AG2" s="11" t="s">
        <v>179</v>
      </c>
      <c r="AH2" s="13" t="s">
        <v>170</v>
      </c>
      <c r="AI2" s="6">
        <v>47492</v>
      </c>
    </row>
    <row r="3" spans="4:35" ht="17" customHeight="1" thickBot="1">
      <c r="J3" s="12" t="s">
        <v>31</v>
      </c>
      <c r="K3" s="13" t="s">
        <v>31</v>
      </c>
      <c r="L3" s="13" t="s">
        <v>32</v>
      </c>
      <c r="M3" s="7">
        <v>49075</v>
      </c>
      <c r="O3" s="11" t="s">
        <v>59</v>
      </c>
      <c r="P3" s="9" t="s">
        <v>59</v>
      </c>
      <c r="Q3" s="17" t="s">
        <v>60</v>
      </c>
      <c r="R3" s="6">
        <v>55000</v>
      </c>
      <c r="T3" s="11" t="s">
        <v>128</v>
      </c>
      <c r="U3" s="9" t="s">
        <v>128</v>
      </c>
      <c r="V3" s="13" t="s">
        <v>129</v>
      </c>
      <c r="W3" s="6">
        <v>55000</v>
      </c>
      <c r="Y3" s="11" t="s">
        <v>171</v>
      </c>
      <c r="Z3" s="13" t="s">
        <v>170</v>
      </c>
      <c r="AA3" s="6">
        <v>51309</v>
      </c>
      <c r="AC3" s="11" t="s">
        <v>180</v>
      </c>
      <c r="AD3" s="13" t="s">
        <v>170</v>
      </c>
      <c r="AE3" s="6">
        <v>45308</v>
      </c>
      <c r="AG3" s="11" t="s">
        <v>180</v>
      </c>
      <c r="AH3" s="13" t="s">
        <v>170</v>
      </c>
      <c r="AI3" s="6">
        <v>49075</v>
      </c>
    </row>
    <row r="4" spans="4:35" ht="17" customHeight="1" thickBot="1">
      <c r="J4" s="12" t="s">
        <v>33</v>
      </c>
      <c r="K4" s="13" t="s">
        <v>33</v>
      </c>
      <c r="L4" s="13" t="s">
        <v>34</v>
      </c>
      <c r="M4" s="7">
        <v>52400</v>
      </c>
      <c r="O4" s="11" t="s">
        <v>61</v>
      </c>
      <c r="P4" s="9" t="s">
        <v>61</v>
      </c>
      <c r="Q4" s="17" t="s">
        <v>62</v>
      </c>
      <c r="R4" s="6">
        <v>55000</v>
      </c>
      <c r="T4" s="11" t="s">
        <v>130</v>
      </c>
      <c r="U4" s="9" t="s">
        <v>130</v>
      </c>
      <c r="V4" s="13" t="s">
        <v>131</v>
      </c>
      <c r="W4" s="6">
        <v>55000</v>
      </c>
      <c r="Y4" s="11" t="s">
        <v>172</v>
      </c>
      <c r="Z4" s="13" t="s">
        <v>170</v>
      </c>
      <c r="AA4" s="6">
        <v>49654</v>
      </c>
      <c r="AC4" s="11" t="s">
        <v>181</v>
      </c>
      <c r="AD4" s="13" t="s">
        <v>170</v>
      </c>
      <c r="AE4" s="6">
        <v>45308</v>
      </c>
      <c r="AG4" s="11" t="s">
        <v>181</v>
      </c>
      <c r="AH4" s="13" t="s">
        <v>170</v>
      </c>
      <c r="AI4" s="6">
        <v>49075</v>
      </c>
    </row>
    <row r="5" spans="4:35" ht="17" customHeight="1" thickBot="1">
      <c r="J5" s="12" t="s">
        <v>35</v>
      </c>
      <c r="K5" s="13" t="s">
        <v>35</v>
      </c>
      <c r="L5" s="13" t="s">
        <v>36</v>
      </c>
      <c r="M5" s="7">
        <v>52400</v>
      </c>
      <c r="O5" s="11" t="s">
        <v>63</v>
      </c>
      <c r="P5" s="9" t="s">
        <v>63</v>
      </c>
      <c r="Q5" s="17" t="s">
        <v>64</v>
      </c>
      <c r="R5" s="6">
        <v>55000</v>
      </c>
      <c r="T5" s="11" t="s">
        <v>132</v>
      </c>
      <c r="U5" s="9" t="s">
        <v>133</v>
      </c>
      <c r="V5" s="13" t="s">
        <v>134</v>
      </c>
      <c r="W5" s="6">
        <v>4990.18</v>
      </c>
      <c r="Y5" s="11" t="s">
        <v>173</v>
      </c>
      <c r="Z5" s="13" t="s">
        <v>170</v>
      </c>
      <c r="AA5" s="6">
        <v>51309</v>
      </c>
      <c r="AC5" s="11" t="s">
        <v>182</v>
      </c>
      <c r="AD5" s="13" t="s">
        <v>170</v>
      </c>
      <c r="AE5" s="6">
        <v>45008</v>
      </c>
      <c r="AG5" s="11" t="s">
        <v>182</v>
      </c>
      <c r="AH5" s="13" t="s">
        <v>170</v>
      </c>
      <c r="AI5" s="6">
        <v>47598</v>
      </c>
    </row>
    <row r="6" spans="4:35" ht="17" customHeight="1" thickBot="1">
      <c r="J6" s="12" t="s">
        <v>37</v>
      </c>
      <c r="K6" s="13" t="s">
        <v>37</v>
      </c>
      <c r="L6" s="13" t="s">
        <v>38</v>
      </c>
      <c r="M6" s="7">
        <v>67000</v>
      </c>
      <c r="O6" s="11" t="s">
        <v>65</v>
      </c>
      <c r="P6" s="9" t="s">
        <v>65</v>
      </c>
      <c r="Q6" s="17" t="s">
        <v>66</v>
      </c>
      <c r="R6" s="6">
        <v>55000</v>
      </c>
      <c r="T6" s="11" t="s">
        <v>135</v>
      </c>
      <c r="U6" s="9" t="s">
        <v>135</v>
      </c>
      <c r="V6" s="13" t="s">
        <v>136</v>
      </c>
      <c r="W6" s="6">
        <v>55000</v>
      </c>
      <c r="Y6" s="11" t="s">
        <v>174</v>
      </c>
      <c r="Z6" s="13" t="s">
        <v>170</v>
      </c>
      <c r="AA6" s="6">
        <v>52322</v>
      </c>
      <c r="AC6" s="11" t="s">
        <v>183</v>
      </c>
      <c r="AD6" s="13" t="s">
        <v>170</v>
      </c>
      <c r="AE6" s="6">
        <v>48309</v>
      </c>
      <c r="AG6" s="11" t="s">
        <v>183</v>
      </c>
      <c r="AH6" s="13" t="s">
        <v>170</v>
      </c>
      <c r="AI6" s="6">
        <v>52369</v>
      </c>
    </row>
    <row r="7" spans="4:35" ht="17" customHeight="1" thickBot="1">
      <c r="J7" s="12" t="s">
        <v>39</v>
      </c>
      <c r="K7" s="13" t="s">
        <v>39</v>
      </c>
      <c r="L7" s="13" t="s">
        <v>40</v>
      </c>
      <c r="M7" s="7">
        <v>25000</v>
      </c>
      <c r="O7" s="11" t="s">
        <v>67</v>
      </c>
      <c r="P7" s="9" t="s">
        <v>67</v>
      </c>
      <c r="Q7" s="17" t="s">
        <v>68</v>
      </c>
      <c r="R7" s="6">
        <v>55000</v>
      </c>
      <c r="T7" s="11" t="s">
        <v>137</v>
      </c>
      <c r="U7" s="9" t="s">
        <v>138</v>
      </c>
      <c r="V7" s="13" t="s">
        <v>139</v>
      </c>
      <c r="W7" s="6">
        <v>5000</v>
      </c>
      <c r="Y7" s="11" t="s">
        <v>130</v>
      </c>
      <c r="Z7" s="13" t="s">
        <v>175</v>
      </c>
      <c r="AA7" s="6">
        <v>45000</v>
      </c>
      <c r="AC7" s="11" t="s">
        <v>184</v>
      </c>
      <c r="AD7" s="13" t="s">
        <v>170</v>
      </c>
      <c r="AE7" s="6">
        <v>47331</v>
      </c>
      <c r="AG7" s="11" t="s">
        <v>184</v>
      </c>
      <c r="AH7" s="13" t="s">
        <v>170</v>
      </c>
      <c r="AI7" s="6">
        <v>48668</v>
      </c>
    </row>
    <row r="8" spans="4:35" ht="17" customHeight="1" thickBot="1">
      <c r="J8" s="12" t="s">
        <v>41</v>
      </c>
      <c r="K8" s="13" t="s">
        <v>41</v>
      </c>
      <c r="L8" s="13" t="s">
        <v>42</v>
      </c>
      <c r="M8" s="7">
        <v>45000</v>
      </c>
      <c r="O8" s="11" t="s">
        <v>69</v>
      </c>
      <c r="P8" s="9" t="s">
        <v>69</v>
      </c>
      <c r="Q8" s="17" t="s">
        <v>70</v>
      </c>
      <c r="R8" s="6">
        <v>55000</v>
      </c>
      <c r="T8" s="11" t="s">
        <v>140</v>
      </c>
      <c r="U8" s="9" t="s">
        <v>141</v>
      </c>
      <c r="V8" s="13" t="s">
        <v>142</v>
      </c>
      <c r="W8" s="6">
        <v>50000</v>
      </c>
      <c r="Y8" s="11" t="s">
        <v>176</v>
      </c>
      <c r="Z8" s="13" t="s">
        <v>175</v>
      </c>
      <c r="AA8" s="13">
        <v>200000</v>
      </c>
      <c r="AC8" s="11" t="s">
        <v>185</v>
      </c>
      <c r="AD8" s="13" t="s">
        <v>170</v>
      </c>
      <c r="AE8" s="6">
        <v>49809</v>
      </c>
      <c r="AG8" s="11" t="s">
        <v>185</v>
      </c>
      <c r="AH8" s="13" t="s">
        <v>170</v>
      </c>
      <c r="AI8" s="6">
        <v>43448</v>
      </c>
    </row>
    <row r="9" spans="4:35" ht="17" customHeight="1" thickBot="1">
      <c r="D9" s="22" t="s">
        <v>21</v>
      </c>
      <c r="E9" s="22" t="s">
        <v>22</v>
      </c>
      <c r="F9" s="22" t="s">
        <v>23</v>
      </c>
      <c r="G9" s="22"/>
      <c r="J9" s="12" t="s">
        <v>43</v>
      </c>
      <c r="K9" s="13" t="s">
        <v>43</v>
      </c>
      <c r="L9" s="13" t="s">
        <v>44</v>
      </c>
      <c r="M9" s="7">
        <v>45000</v>
      </c>
      <c r="O9" s="11" t="s">
        <v>71</v>
      </c>
      <c r="P9" s="9" t="s">
        <v>71</v>
      </c>
      <c r="Q9" s="17" t="s">
        <v>72</v>
      </c>
      <c r="R9" s="6">
        <v>55000</v>
      </c>
      <c r="T9" s="11" t="s">
        <v>143</v>
      </c>
      <c r="U9" s="9" t="s">
        <v>144</v>
      </c>
      <c r="V9" s="13" t="s">
        <v>145</v>
      </c>
      <c r="W9" s="6">
        <v>20000</v>
      </c>
      <c r="Y9" s="11" t="s">
        <v>132</v>
      </c>
      <c r="Z9" s="13" t="s">
        <v>170</v>
      </c>
      <c r="AA9" s="6">
        <v>51376</v>
      </c>
      <c r="AC9" s="11" t="s">
        <v>186</v>
      </c>
      <c r="AD9" s="13" t="s">
        <v>170</v>
      </c>
      <c r="AE9" s="6">
        <v>45570</v>
      </c>
      <c r="AG9" s="11" t="s">
        <v>186</v>
      </c>
      <c r="AH9" s="13" t="s">
        <v>170</v>
      </c>
      <c r="AI9" s="6">
        <v>39286</v>
      </c>
    </row>
    <row r="10" spans="4:35" ht="17" customHeight="1" thickBot="1">
      <c r="D10" s="22" t="s">
        <v>10</v>
      </c>
      <c r="E10" s="21">
        <f>W13</f>
        <v>376990.18</v>
      </c>
      <c r="F10" s="21">
        <f>R37</f>
        <v>1660354</v>
      </c>
      <c r="G10" s="21">
        <f>E10+F10</f>
        <v>2037344.18</v>
      </c>
      <c r="J10" s="12" t="s">
        <v>45</v>
      </c>
      <c r="K10" s="13" t="s">
        <v>45</v>
      </c>
      <c r="L10" s="13" t="s">
        <v>46</v>
      </c>
      <c r="M10" s="7">
        <v>45000</v>
      </c>
      <c r="O10" s="11" t="s">
        <v>73</v>
      </c>
      <c r="P10" s="9" t="s">
        <v>73</v>
      </c>
      <c r="Q10" s="17" t="s">
        <v>74</v>
      </c>
      <c r="R10" s="6">
        <v>55000</v>
      </c>
      <c r="T10" s="11" t="s">
        <v>146</v>
      </c>
      <c r="U10" s="9" t="s">
        <v>146</v>
      </c>
      <c r="V10" s="13" t="s">
        <v>147</v>
      </c>
      <c r="W10" s="6">
        <v>20000</v>
      </c>
      <c r="Y10" s="11" t="s">
        <v>177</v>
      </c>
      <c r="Z10" s="13" t="s">
        <v>170</v>
      </c>
      <c r="AA10" s="6">
        <v>53088</v>
      </c>
      <c r="AC10" s="11" t="s">
        <v>187</v>
      </c>
      <c r="AD10" s="13" t="s">
        <v>170</v>
      </c>
      <c r="AE10" s="6">
        <v>51309</v>
      </c>
      <c r="AG10" s="11" t="s">
        <v>187</v>
      </c>
      <c r="AH10" s="13" t="s">
        <v>170</v>
      </c>
      <c r="AI10" s="6">
        <v>44773</v>
      </c>
    </row>
    <row r="11" spans="4:35" ht="17" customHeight="1" thickBot="1">
      <c r="D11" s="22" t="s">
        <v>11</v>
      </c>
      <c r="E11" s="21">
        <f>M22</f>
        <v>300000</v>
      </c>
      <c r="F11" s="21">
        <f>M16</f>
        <v>615875</v>
      </c>
      <c r="G11" s="21">
        <f>E11+F11</f>
        <v>915875</v>
      </c>
      <c r="H11" s="24">
        <f>G10-G15-G11-G16</f>
        <v>886512.17999999993</v>
      </c>
      <c r="J11" s="12" t="s">
        <v>47</v>
      </c>
      <c r="K11" s="13" t="s">
        <v>47</v>
      </c>
      <c r="L11" s="13" t="s">
        <v>48</v>
      </c>
      <c r="M11" s="7">
        <v>36000</v>
      </c>
      <c r="O11" s="11" t="s">
        <v>75</v>
      </c>
      <c r="P11" s="9" t="s">
        <v>75</v>
      </c>
      <c r="Q11" s="17" t="s">
        <v>76</v>
      </c>
      <c r="R11" s="6">
        <v>55000</v>
      </c>
      <c r="T11" s="11" t="s">
        <v>148</v>
      </c>
      <c r="U11" s="9" t="s">
        <v>148</v>
      </c>
      <c r="V11" s="13" t="s">
        <v>149</v>
      </c>
      <c r="W11" s="6">
        <v>50000</v>
      </c>
      <c r="Y11" s="11" t="s">
        <v>178</v>
      </c>
      <c r="Z11" s="13" t="s">
        <v>170</v>
      </c>
      <c r="AA11" s="6">
        <v>51376</v>
      </c>
      <c r="AC11" s="11" t="s">
        <v>188</v>
      </c>
      <c r="AD11" s="13" t="s">
        <v>170</v>
      </c>
      <c r="AE11" s="6">
        <v>51210</v>
      </c>
      <c r="AG11" s="11" t="s">
        <v>188</v>
      </c>
      <c r="AH11" s="13" t="s">
        <v>170</v>
      </c>
      <c r="AI11" s="6">
        <v>44686</v>
      </c>
    </row>
    <row r="12" spans="4:35" ht="17" customHeight="1" thickBot="1">
      <c r="G12" s="20">
        <f>G10+G11</f>
        <v>2953219.1799999997</v>
      </c>
      <c r="J12" s="12" t="s">
        <v>49</v>
      </c>
      <c r="K12" s="13" t="s">
        <v>49</v>
      </c>
      <c r="L12" s="13" t="s">
        <v>50</v>
      </c>
      <c r="M12" s="7">
        <v>13000</v>
      </c>
      <c r="O12" s="11" t="s">
        <v>77</v>
      </c>
      <c r="P12" s="9" t="s">
        <v>77</v>
      </c>
      <c r="Q12" s="17" t="s">
        <v>78</v>
      </c>
      <c r="R12" s="6">
        <v>55000</v>
      </c>
      <c r="T12" s="11" t="s">
        <v>150</v>
      </c>
      <c r="U12" s="9" t="s">
        <v>150</v>
      </c>
      <c r="V12" s="13" t="s">
        <v>151</v>
      </c>
      <c r="W12" s="6">
        <v>7000</v>
      </c>
      <c r="Y12" s="11" t="s">
        <v>146</v>
      </c>
      <c r="Z12" s="13" t="s">
        <v>170</v>
      </c>
      <c r="AA12" s="6">
        <v>32538</v>
      </c>
      <c r="AC12" s="11" t="s">
        <v>189</v>
      </c>
      <c r="AD12" s="13" t="s">
        <v>170</v>
      </c>
      <c r="AE12" s="6">
        <v>49519</v>
      </c>
      <c r="AG12" s="11" t="s">
        <v>189</v>
      </c>
      <c r="AH12" s="13" t="s">
        <v>170</v>
      </c>
      <c r="AI12" s="6">
        <v>43210</v>
      </c>
    </row>
    <row r="13" spans="4:35" ht="17" customHeight="1" thickBot="1">
      <c r="J13" s="12" t="s">
        <v>51</v>
      </c>
      <c r="K13" s="13" t="s">
        <v>51</v>
      </c>
      <c r="L13" s="13" t="s">
        <v>52</v>
      </c>
      <c r="M13" s="7">
        <v>20000</v>
      </c>
      <c r="O13" s="11" t="s">
        <v>77</v>
      </c>
      <c r="P13" s="9" t="s">
        <v>77</v>
      </c>
      <c r="Q13" s="17" t="s">
        <v>79</v>
      </c>
      <c r="R13" s="6">
        <v>45000</v>
      </c>
      <c r="W13" s="19">
        <f>SUM(W2:W12)</f>
        <v>376990.18</v>
      </c>
      <c r="AA13" s="19">
        <f>SUM(AA2:AA12)</f>
        <v>687626</v>
      </c>
      <c r="AC13" s="11" t="s">
        <v>80</v>
      </c>
      <c r="AD13" s="13" t="s">
        <v>170</v>
      </c>
      <c r="AE13" s="6">
        <v>51169</v>
      </c>
      <c r="AG13" s="11" t="s">
        <v>80</v>
      </c>
      <c r="AH13" s="13" t="s">
        <v>170</v>
      </c>
      <c r="AI13" s="6">
        <v>44651</v>
      </c>
    </row>
    <row r="14" spans="4:35" ht="17" customHeight="1" thickBot="1">
      <c r="D14" s="22" t="s">
        <v>155</v>
      </c>
      <c r="E14" s="22" t="s">
        <v>22</v>
      </c>
      <c r="F14" s="22" t="s">
        <v>23</v>
      </c>
      <c r="G14" s="22"/>
      <c r="J14" s="12" t="s">
        <v>53</v>
      </c>
      <c r="K14" s="13" t="s">
        <v>53</v>
      </c>
      <c r="L14" s="13" t="s">
        <v>54</v>
      </c>
      <c r="M14" s="7">
        <v>87000</v>
      </c>
      <c r="O14" s="11" t="s">
        <v>80</v>
      </c>
      <c r="P14" s="9" t="s">
        <v>80</v>
      </c>
      <c r="Q14" s="17" t="s">
        <v>81</v>
      </c>
      <c r="R14" s="6">
        <v>55000</v>
      </c>
      <c r="AC14" s="11" t="s">
        <v>190</v>
      </c>
      <c r="AD14" s="13" t="s">
        <v>170</v>
      </c>
      <c r="AE14" s="6">
        <v>49519</v>
      </c>
      <c r="AG14" s="11" t="s">
        <v>190</v>
      </c>
      <c r="AH14" s="13" t="s">
        <v>170</v>
      </c>
      <c r="AI14" s="6">
        <v>43210</v>
      </c>
    </row>
    <row r="15" spans="4:35" ht="16" customHeight="1" thickBot="1">
      <c r="D15" s="22" t="s">
        <v>10</v>
      </c>
      <c r="E15" s="21">
        <f>W18</f>
        <v>57911</v>
      </c>
      <c r="F15" s="21">
        <f>W26</f>
        <v>177046</v>
      </c>
      <c r="G15" s="21">
        <f>E15+F15</f>
        <v>234957</v>
      </c>
      <c r="J15" s="12" t="s">
        <v>55</v>
      </c>
      <c r="K15" s="13" t="s">
        <v>55</v>
      </c>
      <c r="L15" s="13" t="s">
        <v>56</v>
      </c>
      <c r="M15" s="6">
        <v>30000</v>
      </c>
      <c r="O15" s="11" t="s">
        <v>82</v>
      </c>
      <c r="P15" s="9" t="s">
        <v>82</v>
      </c>
      <c r="Q15" s="17" t="s">
        <v>83</v>
      </c>
      <c r="R15" s="6">
        <v>45000</v>
      </c>
      <c r="T15" s="10" t="s">
        <v>24</v>
      </c>
      <c r="U15" s="4" t="s">
        <v>25</v>
      </c>
      <c r="V15" s="5" t="s">
        <v>26</v>
      </c>
      <c r="W15" s="4" t="s">
        <v>27</v>
      </c>
      <c r="AC15" s="11" t="s">
        <v>191</v>
      </c>
      <c r="AD15" s="13" t="s">
        <v>170</v>
      </c>
      <c r="AE15" s="6">
        <v>51169</v>
      </c>
      <c r="AG15" s="11" t="s">
        <v>191</v>
      </c>
      <c r="AH15" s="13" t="s">
        <v>170</v>
      </c>
      <c r="AI15" s="6">
        <v>44252</v>
      </c>
    </row>
    <row r="16" spans="4:35" ht="17" customHeight="1" thickBot="1">
      <c r="D16" s="22" t="s">
        <v>11</v>
      </c>
      <c r="E16" s="21">
        <f>M27</f>
        <v>0</v>
      </c>
      <c r="F16" s="21">
        <v>0</v>
      </c>
      <c r="G16" s="21">
        <f>E16+F16</f>
        <v>0</v>
      </c>
      <c r="M16" s="15">
        <f>SUM(M2:M15)</f>
        <v>615875</v>
      </c>
      <c r="O16" s="11" t="s">
        <v>51</v>
      </c>
      <c r="P16" s="9" t="s">
        <v>51</v>
      </c>
      <c r="Q16" s="17" t="s">
        <v>84</v>
      </c>
      <c r="R16" s="6">
        <v>5000</v>
      </c>
      <c r="T16" s="11" t="s">
        <v>156</v>
      </c>
      <c r="U16" s="13" t="s">
        <v>156</v>
      </c>
      <c r="V16" s="9" t="s">
        <v>157</v>
      </c>
      <c r="W16" s="6">
        <v>2911</v>
      </c>
      <c r="AC16" s="11" t="s">
        <v>192</v>
      </c>
      <c r="AD16" s="13" t="s">
        <v>170</v>
      </c>
      <c r="AE16" s="6">
        <v>51169</v>
      </c>
      <c r="AG16" s="11" t="s">
        <v>192</v>
      </c>
      <c r="AH16" s="13" t="s">
        <v>170</v>
      </c>
      <c r="AI16" s="6">
        <v>40363</v>
      </c>
    </row>
    <row r="17" spans="4:35" ht="17" customHeight="1" thickBot="1">
      <c r="G17" s="20">
        <f>G15-G16</f>
        <v>234957</v>
      </c>
      <c r="O17" s="11" t="s">
        <v>85</v>
      </c>
      <c r="P17" s="9" t="s">
        <v>85</v>
      </c>
      <c r="Q17" s="17" t="s">
        <v>86</v>
      </c>
      <c r="R17" s="6">
        <v>51311</v>
      </c>
      <c r="T17" s="11" t="s">
        <v>130</v>
      </c>
      <c r="U17" s="13" t="s">
        <v>130</v>
      </c>
      <c r="V17" s="9" t="s">
        <v>158</v>
      </c>
      <c r="W17" s="6">
        <v>55000</v>
      </c>
      <c r="AC17" s="11" t="s">
        <v>193</v>
      </c>
      <c r="AD17" s="13" t="s">
        <v>170</v>
      </c>
      <c r="AE17" s="6">
        <v>49519</v>
      </c>
      <c r="AG17" s="11" t="s">
        <v>193</v>
      </c>
      <c r="AH17" s="13" t="s">
        <v>170</v>
      </c>
      <c r="AI17" s="6">
        <v>36666</v>
      </c>
    </row>
    <row r="18" spans="4:35" ht="17" customHeight="1" thickBot="1">
      <c r="G18" s="24"/>
      <c r="O18" s="11" t="s">
        <v>87</v>
      </c>
      <c r="P18" s="9" t="s">
        <v>87</v>
      </c>
      <c r="Q18" s="17" t="s">
        <v>88</v>
      </c>
      <c r="R18" s="6">
        <v>45000</v>
      </c>
      <c r="W18" s="19">
        <f>W16+W17</f>
        <v>57911</v>
      </c>
      <c r="AC18" s="11" t="s">
        <v>159</v>
      </c>
      <c r="AD18" s="13" t="s">
        <v>170</v>
      </c>
      <c r="AE18" s="6">
        <v>51169</v>
      </c>
      <c r="AG18" s="11" t="s">
        <v>159</v>
      </c>
      <c r="AH18" s="13" t="s">
        <v>170</v>
      </c>
      <c r="AI18" s="6">
        <v>34191</v>
      </c>
    </row>
    <row r="19" spans="4:35" ht="17" customHeight="1" thickBot="1">
      <c r="J19" s="10" t="s">
        <v>24</v>
      </c>
      <c r="K19" s="5" t="s">
        <v>25</v>
      </c>
      <c r="L19" s="4" t="s">
        <v>26</v>
      </c>
      <c r="M19" s="4" t="s">
        <v>28</v>
      </c>
      <c r="O19" s="11" t="s">
        <v>89</v>
      </c>
      <c r="P19" s="9" t="s">
        <v>89</v>
      </c>
      <c r="Q19" s="17" t="s">
        <v>90</v>
      </c>
      <c r="R19" s="6">
        <v>51311</v>
      </c>
      <c r="AC19" s="11" t="s">
        <v>194</v>
      </c>
      <c r="AD19" s="13" t="s">
        <v>170</v>
      </c>
      <c r="AE19" s="6">
        <v>49518</v>
      </c>
      <c r="AG19" s="11" t="s">
        <v>194</v>
      </c>
      <c r="AH19" s="13" t="s">
        <v>170</v>
      </c>
      <c r="AI19" s="6">
        <v>30976</v>
      </c>
    </row>
    <row r="20" spans="4:35" ht="17" customHeight="1" thickBot="1">
      <c r="D20" s="22" t="s">
        <v>168</v>
      </c>
      <c r="E20" s="22" t="s">
        <v>22</v>
      </c>
      <c r="F20" s="22" t="s">
        <v>23</v>
      </c>
      <c r="G20" s="22"/>
      <c r="J20" s="11" t="s">
        <v>130</v>
      </c>
      <c r="K20" s="9" t="s">
        <v>130</v>
      </c>
      <c r="L20" s="13" t="s">
        <v>152</v>
      </c>
      <c r="M20" s="13">
        <v>100000</v>
      </c>
      <c r="O20" s="11" t="s">
        <v>91</v>
      </c>
      <c r="P20" s="9" t="s">
        <v>91</v>
      </c>
      <c r="Q20" s="17" t="s">
        <v>92</v>
      </c>
      <c r="R20" s="6">
        <v>45000</v>
      </c>
      <c r="T20" s="10" t="s">
        <v>24</v>
      </c>
      <c r="U20" s="5" t="s">
        <v>25</v>
      </c>
      <c r="V20" s="4" t="s">
        <v>26</v>
      </c>
      <c r="W20" s="16" t="s">
        <v>27</v>
      </c>
      <c r="AC20" s="11" t="s">
        <v>195</v>
      </c>
      <c r="AD20" s="13" t="s">
        <v>170</v>
      </c>
      <c r="AE20" s="6">
        <v>51169</v>
      </c>
      <c r="AG20" s="11" t="s">
        <v>195</v>
      </c>
      <c r="AH20" s="13" t="s">
        <v>170</v>
      </c>
      <c r="AI20" s="6">
        <v>27385</v>
      </c>
    </row>
    <row r="21" spans="4:35" ht="17" customHeight="1" thickBot="1">
      <c r="D21" s="22" t="s">
        <v>1</v>
      </c>
      <c r="E21" s="21">
        <f>AA13</f>
        <v>687626</v>
      </c>
      <c r="F21" s="21">
        <f>AE24</f>
        <v>1272366</v>
      </c>
      <c r="G21" s="21">
        <f>E21+F21</f>
        <v>1959992</v>
      </c>
      <c r="J21" s="11" t="s">
        <v>153</v>
      </c>
      <c r="K21" s="9" t="s">
        <v>153</v>
      </c>
      <c r="L21" s="13" t="s">
        <v>154</v>
      </c>
      <c r="M21" s="13">
        <v>200000</v>
      </c>
      <c r="O21" s="11" t="s">
        <v>93</v>
      </c>
      <c r="P21" s="9" t="s">
        <v>93</v>
      </c>
      <c r="Q21" s="17" t="s">
        <v>94</v>
      </c>
      <c r="R21" s="6">
        <v>51311</v>
      </c>
      <c r="T21" s="11" t="s">
        <v>159</v>
      </c>
      <c r="U21" s="9" t="s">
        <v>159</v>
      </c>
      <c r="V21" s="13" t="s">
        <v>160</v>
      </c>
      <c r="W21" s="7">
        <v>15000</v>
      </c>
      <c r="AC21" s="11" t="s">
        <v>196</v>
      </c>
      <c r="AD21" s="13" t="s">
        <v>170</v>
      </c>
      <c r="AE21" s="6">
        <v>47868</v>
      </c>
      <c r="AI21" s="19">
        <f>SUM(AI2:AI20)</f>
        <v>811374</v>
      </c>
    </row>
    <row r="22" spans="4:35" ht="17" customHeight="1" thickBot="1">
      <c r="D22" s="22" t="s">
        <v>2</v>
      </c>
      <c r="E22" s="21">
        <f>M33</f>
        <v>0</v>
      </c>
      <c r="F22" s="21">
        <f>AI21</f>
        <v>811374</v>
      </c>
      <c r="G22" s="21">
        <f>E22+F22</f>
        <v>811374</v>
      </c>
      <c r="M22" s="18">
        <f>M20+M21</f>
        <v>300000</v>
      </c>
      <c r="O22" s="11" t="s">
        <v>95</v>
      </c>
      <c r="P22" s="9" t="s">
        <v>95</v>
      </c>
      <c r="Q22" s="17" t="s">
        <v>96</v>
      </c>
      <c r="R22" s="6">
        <v>45000</v>
      </c>
      <c r="T22" s="11" t="s">
        <v>99</v>
      </c>
      <c r="U22" s="9" t="s">
        <v>99</v>
      </c>
      <c r="V22" s="13" t="s">
        <v>161</v>
      </c>
      <c r="W22" s="7">
        <v>51000</v>
      </c>
      <c r="AC22" s="11" t="s">
        <v>197</v>
      </c>
      <c r="AD22" s="13" t="s">
        <v>170</v>
      </c>
      <c r="AE22" s="6">
        <v>51169</v>
      </c>
    </row>
    <row r="23" spans="4:35" ht="17" customHeight="1" thickBot="1">
      <c r="G23" s="20">
        <f>G21+G22</f>
        <v>2771366</v>
      </c>
      <c r="O23" s="11" t="s">
        <v>97</v>
      </c>
      <c r="P23" s="9" t="s">
        <v>97</v>
      </c>
      <c r="Q23" s="17" t="s">
        <v>98</v>
      </c>
      <c r="R23" s="6">
        <v>51311</v>
      </c>
      <c r="T23" s="11" t="s">
        <v>162</v>
      </c>
      <c r="U23" s="9" t="s">
        <v>162</v>
      </c>
      <c r="V23" s="13" t="s">
        <v>163</v>
      </c>
      <c r="W23" s="17">
        <v>100011</v>
      </c>
      <c r="AC23" s="11" t="s">
        <v>198</v>
      </c>
      <c r="AD23" s="13" t="s">
        <v>170</v>
      </c>
      <c r="AE23" s="6">
        <v>51269</v>
      </c>
    </row>
    <row r="24" spans="4:35" ht="17" customHeight="1" thickBot="1">
      <c r="O24" s="11" t="s">
        <v>99</v>
      </c>
      <c r="P24" s="9" t="s">
        <v>99</v>
      </c>
      <c r="Q24" s="17" t="s">
        <v>100</v>
      </c>
      <c r="R24" s="6">
        <v>45000</v>
      </c>
      <c r="T24" s="11" t="s">
        <v>164</v>
      </c>
      <c r="U24" s="9" t="s">
        <v>164</v>
      </c>
      <c r="V24" s="13" t="s">
        <v>165</v>
      </c>
      <c r="W24" s="7">
        <v>9700</v>
      </c>
      <c r="AE24" s="18">
        <f>SUM(AE2:AE23)</f>
        <v>1272366</v>
      </c>
    </row>
    <row r="25" spans="4:35" ht="17" customHeight="1" thickBot="1">
      <c r="O25" s="11" t="s">
        <v>101</v>
      </c>
      <c r="P25" s="9" t="s">
        <v>101</v>
      </c>
      <c r="Q25" s="17" t="s">
        <v>102</v>
      </c>
      <c r="R25" s="6">
        <v>51311</v>
      </c>
      <c r="T25" s="11" t="s">
        <v>166</v>
      </c>
      <c r="U25" s="9" t="s">
        <v>166</v>
      </c>
      <c r="V25" s="13" t="s">
        <v>167</v>
      </c>
      <c r="W25" s="6">
        <v>1335</v>
      </c>
    </row>
    <row r="26" spans="4:35" ht="17" customHeight="1" thickBot="1">
      <c r="O26" s="11" t="s">
        <v>103</v>
      </c>
      <c r="P26" s="9" t="s">
        <v>103</v>
      </c>
      <c r="Q26" s="17" t="s">
        <v>104</v>
      </c>
      <c r="R26" s="6">
        <v>52000</v>
      </c>
      <c r="W26" s="19">
        <f>SUM(W21:W25)</f>
        <v>177046</v>
      </c>
    </row>
    <row r="27" spans="4:35" ht="17" customHeight="1" thickBot="1">
      <c r="O27" s="11" t="s">
        <v>105</v>
      </c>
      <c r="P27" s="9" t="s">
        <v>105</v>
      </c>
      <c r="Q27" s="17" t="s">
        <v>106</v>
      </c>
      <c r="R27" s="6">
        <v>60000</v>
      </c>
    </row>
    <row r="28" spans="4:35" ht="17" customHeight="1" thickBot="1">
      <c r="G28" s="24"/>
      <c r="O28" s="11" t="s">
        <v>107</v>
      </c>
      <c r="P28" s="9" t="s">
        <v>107</v>
      </c>
      <c r="Q28" s="17" t="s">
        <v>108</v>
      </c>
      <c r="R28" s="6">
        <v>45000</v>
      </c>
    </row>
    <row r="29" spans="4:35" ht="17" customHeight="1" thickBot="1">
      <c r="O29" s="11" t="s">
        <v>109</v>
      </c>
      <c r="P29" s="9" t="s">
        <v>109</v>
      </c>
      <c r="Q29" s="17" t="s">
        <v>110</v>
      </c>
      <c r="R29" s="6">
        <v>51311</v>
      </c>
    </row>
    <row r="30" spans="4:35" ht="17" customHeight="1" thickBot="1">
      <c r="O30" s="11" t="s">
        <v>111</v>
      </c>
      <c r="P30" s="9" t="s">
        <v>111</v>
      </c>
      <c r="Q30" s="17" t="s">
        <v>112</v>
      </c>
      <c r="R30" s="6">
        <v>32000</v>
      </c>
    </row>
    <row r="31" spans="4:35" ht="17" customHeight="1" thickBot="1">
      <c r="O31" s="11" t="s">
        <v>113</v>
      </c>
      <c r="P31" s="9" t="s">
        <v>113</v>
      </c>
      <c r="Q31" s="17" t="s">
        <v>114</v>
      </c>
      <c r="R31" s="6">
        <v>51311</v>
      </c>
    </row>
    <row r="32" spans="4:35" ht="17" customHeight="1" thickBot="1">
      <c r="O32" s="11" t="s">
        <v>115</v>
      </c>
      <c r="P32" s="9" t="s">
        <v>115</v>
      </c>
      <c r="Q32" s="17" t="s">
        <v>116</v>
      </c>
      <c r="R32" s="6">
        <v>4444</v>
      </c>
    </row>
    <row r="33" spans="15:18" ht="17" customHeight="1" thickBot="1">
      <c r="O33" s="11" t="s">
        <v>117</v>
      </c>
      <c r="P33" s="9" t="s">
        <v>117</v>
      </c>
      <c r="Q33" s="17" t="s">
        <v>118</v>
      </c>
      <c r="R33" s="6">
        <v>11111</v>
      </c>
    </row>
    <row r="34" spans="15:18" ht="17" customHeight="1" thickBot="1">
      <c r="O34" s="11" t="s">
        <v>119</v>
      </c>
      <c r="P34" s="9" t="s">
        <v>120</v>
      </c>
      <c r="Q34" s="17" t="s">
        <v>121</v>
      </c>
      <c r="R34" s="6">
        <v>51311</v>
      </c>
    </row>
    <row r="35" spans="15:18" ht="17" customHeight="1" thickBot="1">
      <c r="O35" s="11" t="s">
        <v>122</v>
      </c>
      <c r="P35" s="9" t="s">
        <v>122</v>
      </c>
      <c r="Q35" s="17" t="s">
        <v>123</v>
      </c>
      <c r="R35" s="6">
        <v>52000</v>
      </c>
    </row>
    <row r="36" spans="15:18" ht="16" customHeight="1">
      <c r="O36" s="11" t="s">
        <v>124</v>
      </c>
      <c r="P36" s="9" t="s">
        <v>124</v>
      </c>
      <c r="Q36" s="13" t="s">
        <v>125</v>
      </c>
      <c r="R36" s="6">
        <v>51311</v>
      </c>
    </row>
    <row r="37" spans="15:18">
      <c r="R37" s="15">
        <f>SUM(R2:R36)</f>
        <v>1660354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9307-F7EF-ED47-92F0-86B71D704E23}">
  <dimension ref="A1:G75"/>
  <sheetViews>
    <sheetView showGridLines="0" topLeftCell="A62" workbookViewId="0">
      <selection activeCell="F13" sqref="F13"/>
    </sheetView>
  </sheetViews>
  <sheetFormatPr baseColWidth="10" defaultRowHeight="16"/>
  <cols>
    <col min="1" max="1" width="13" bestFit="1" customWidth="1"/>
    <col min="2" max="2" width="28.5" bestFit="1" customWidth="1"/>
    <col min="3" max="3" width="9.6640625" bestFit="1" customWidth="1"/>
    <col min="4" max="4" width="10.1640625" bestFit="1" customWidth="1"/>
    <col min="5" max="5" width="43.33203125" bestFit="1" customWidth="1"/>
    <col min="6" max="7" width="10.1640625" bestFit="1" customWidth="1"/>
  </cols>
  <sheetData>
    <row r="1" spans="1:7" ht="16" customHeight="1">
      <c r="A1" s="25" t="s">
        <v>199</v>
      </c>
      <c r="B1" s="26"/>
      <c r="C1" s="26"/>
      <c r="D1" s="27"/>
    </row>
    <row r="2" spans="1:7">
      <c r="A2" s="28"/>
      <c r="D2" s="29"/>
    </row>
    <row r="3" spans="1:7">
      <c r="A3" s="30" t="s">
        <v>200</v>
      </c>
      <c r="B3" s="30" t="s">
        <v>201</v>
      </c>
      <c r="C3" s="31" t="s">
        <v>202</v>
      </c>
      <c r="D3" s="32">
        <v>9368684.8000000007</v>
      </c>
    </row>
    <row r="4" spans="1:7">
      <c r="A4" s="30" t="s">
        <v>203</v>
      </c>
      <c r="B4" s="30" t="s">
        <v>204</v>
      </c>
      <c r="C4" s="31" t="s">
        <v>205</v>
      </c>
      <c r="D4" s="32">
        <v>459223.49</v>
      </c>
    </row>
    <row r="5" spans="1:7">
      <c r="A5" s="30" t="s">
        <v>206</v>
      </c>
      <c r="B5" s="30" t="s">
        <v>207</v>
      </c>
      <c r="C5" s="31" t="s">
        <v>208</v>
      </c>
      <c r="D5" s="32">
        <v>9827908.2899999991</v>
      </c>
    </row>
    <row r="6" spans="1:7">
      <c r="A6" s="30" t="s">
        <v>209</v>
      </c>
      <c r="B6" s="30">
        <v>1004.2</v>
      </c>
      <c r="C6" s="31"/>
      <c r="D6" s="30"/>
    </row>
    <row r="8" spans="1:7">
      <c r="A8" s="33" t="s">
        <v>210</v>
      </c>
      <c r="B8" s="33" t="s">
        <v>211</v>
      </c>
      <c r="C8" s="33" t="s">
        <v>212</v>
      </c>
      <c r="D8" s="33" t="s">
        <v>213</v>
      </c>
      <c r="E8" s="33" t="s">
        <v>214</v>
      </c>
      <c r="F8" s="34" t="s">
        <v>215</v>
      </c>
      <c r="G8" s="34" t="s">
        <v>216</v>
      </c>
    </row>
    <row r="9" spans="1:7">
      <c r="A9" s="35"/>
      <c r="B9" s="35"/>
      <c r="C9" s="35"/>
      <c r="D9" s="35"/>
      <c r="E9" s="35"/>
      <c r="F9" s="36" t="s">
        <v>217</v>
      </c>
      <c r="G9" s="36" t="s">
        <v>217</v>
      </c>
    </row>
    <row r="10" spans="1:7" ht="66">
      <c r="A10" s="37">
        <v>45330</v>
      </c>
      <c r="B10" s="30" t="s">
        <v>218</v>
      </c>
      <c r="C10" s="30"/>
      <c r="D10" s="37">
        <v>45330</v>
      </c>
      <c r="E10" s="30" t="s">
        <v>219</v>
      </c>
      <c r="F10" s="30">
        <v>0</v>
      </c>
      <c r="G10" s="32">
        <v>125000</v>
      </c>
    </row>
    <row r="11" spans="1:7" ht="79">
      <c r="A11" s="37">
        <v>45330</v>
      </c>
      <c r="B11" s="30" t="s">
        <v>218</v>
      </c>
      <c r="C11" s="30"/>
      <c r="D11" s="37">
        <v>45330</v>
      </c>
      <c r="E11" s="30" t="s">
        <v>220</v>
      </c>
      <c r="F11" s="30">
        <v>0</v>
      </c>
      <c r="G11" s="32">
        <v>250000</v>
      </c>
    </row>
    <row r="12" spans="1:7" ht="66">
      <c r="A12" s="37">
        <v>45330</v>
      </c>
      <c r="B12" s="30" t="s">
        <v>218</v>
      </c>
      <c r="C12" s="30"/>
      <c r="D12" s="37">
        <v>45330</v>
      </c>
      <c r="E12" s="30" t="s">
        <v>221</v>
      </c>
      <c r="F12" s="30">
        <v>0</v>
      </c>
      <c r="G12" s="32">
        <v>125000</v>
      </c>
    </row>
    <row r="13" spans="1:7">
      <c r="A13" s="37">
        <v>45330</v>
      </c>
      <c r="B13" s="30" t="s">
        <v>222</v>
      </c>
      <c r="C13" s="37">
        <v>45351</v>
      </c>
      <c r="D13" s="37">
        <v>45330</v>
      </c>
      <c r="E13" s="30" t="s">
        <v>223</v>
      </c>
      <c r="F13" s="32">
        <v>916935.2</v>
      </c>
      <c r="G13" s="30">
        <v>0</v>
      </c>
    </row>
    <row r="14" spans="1:7" ht="79">
      <c r="A14" s="37">
        <v>45335</v>
      </c>
      <c r="B14" s="30" t="s">
        <v>218</v>
      </c>
      <c r="C14" s="30"/>
      <c r="D14" s="37">
        <v>45335</v>
      </c>
      <c r="E14" s="30" t="s">
        <v>224</v>
      </c>
      <c r="F14" s="30">
        <v>0</v>
      </c>
      <c r="G14" s="32">
        <v>453250</v>
      </c>
    </row>
    <row r="15" spans="1:7">
      <c r="A15" s="37">
        <v>45339</v>
      </c>
      <c r="B15" s="30" t="s">
        <v>222</v>
      </c>
      <c r="C15" s="37">
        <v>45360</v>
      </c>
      <c r="D15" s="37">
        <v>45339</v>
      </c>
      <c r="E15" s="30" t="s">
        <v>225</v>
      </c>
      <c r="F15" s="32">
        <v>733548.76</v>
      </c>
      <c r="G15" s="30">
        <v>0</v>
      </c>
    </row>
    <row r="16" spans="1:7">
      <c r="A16" s="37">
        <v>45339</v>
      </c>
      <c r="B16" s="30" t="s">
        <v>222</v>
      </c>
      <c r="C16" s="37">
        <v>45360</v>
      </c>
      <c r="D16" s="37">
        <v>45339</v>
      </c>
      <c r="E16" s="30" t="s">
        <v>226</v>
      </c>
      <c r="F16" s="32">
        <v>916935.2</v>
      </c>
      <c r="G16" s="30">
        <v>0</v>
      </c>
    </row>
    <row r="17" spans="1:7">
      <c r="A17" s="37">
        <v>45339</v>
      </c>
      <c r="B17" s="30" t="s">
        <v>222</v>
      </c>
      <c r="C17" s="37">
        <v>45360</v>
      </c>
      <c r="D17" s="37">
        <v>45339</v>
      </c>
      <c r="E17" s="30" t="s">
        <v>227</v>
      </c>
      <c r="F17" s="32">
        <v>733547.76</v>
      </c>
      <c r="G17" s="30">
        <v>0</v>
      </c>
    </row>
    <row r="18" spans="1:7">
      <c r="A18" s="37">
        <v>45339</v>
      </c>
      <c r="B18" s="30" t="s">
        <v>222</v>
      </c>
      <c r="C18" s="37">
        <v>45360</v>
      </c>
      <c r="D18" s="37">
        <v>45339</v>
      </c>
      <c r="E18" s="30" t="s">
        <v>228</v>
      </c>
      <c r="F18" s="32">
        <v>733547.76</v>
      </c>
      <c r="G18" s="30">
        <v>0</v>
      </c>
    </row>
    <row r="19" spans="1:7">
      <c r="A19" s="37">
        <v>45339</v>
      </c>
      <c r="B19" s="30" t="s">
        <v>222</v>
      </c>
      <c r="C19" s="37">
        <v>45360</v>
      </c>
      <c r="D19" s="37">
        <v>45339</v>
      </c>
      <c r="E19" s="30" t="s">
        <v>229</v>
      </c>
      <c r="F19" s="32">
        <v>916935.2</v>
      </c>
      <c r="G19" s="30">
        <v>0</v>
      </c>
    </row>
    <row r="20" spans="1:7" ht="79">
      <c r="A20" s="37">
        <v>45365</v>
      </c>
      <c r="B20" s="30" t="s">
        <v>218</v>
      </c>
      <c r="C20" s="30"/>
      <c r="D20" s="37">
        <v>45365</v>
      </c>
      <c r="E20" s="30" t="s">
        <v>230</v>
      </c>
      <c r="F20" s="30">
        <v>0</v>
      </c>
      <c r="G20" s="32">
        <v>4236240</v>
      </c>
    </row>
    <row r="21" spans="1:7">
      <c r="A21" s="37">
        <v>45379</v>
      </c>
      <c r="B21" s="30" t="s">
        <v>222</v>
      </c>
      <c r="C21" s="37">
        <v>45400</v>
      </c>
      <c r="D21" s="37">
        <v>45379</v>
      </c>
      <c r="E21" s="30" t="s">
        <v>231</v>
      </c>
      <c r="F21" s="32">
        <v>733547.76</v>
      </c>
      <c r="G21" s="30">
        <v>0</v>
      </c>
    </row>
    <row r="22" spans="1:7" ht="79">
      <c r="A22" s="37">
        <v>45399</v>
      </c>
      <c r="B22" s="30" t="s">
        <v>218</v>
      </c>
      <c r="C22" s="30"/>
      <c r="D22" s="37">
        <v>45399</v>
      </c>
      <c r="E22" s="30" t="s">
        <v>232</v>
      </c>
      <c r="F22" s="30">
        <v>0</v>
      </c>
      <c r="G22" s="32">
        <v>770225</v>
      </c>
    </row>
    <row r="23" spans="1:7" ht="40">
      <c r="A23" s="37">
        <v>45412</v>
      </c>
      <c r="B23" s="30" t="s">
        <v>233</v>
      </c>
      <c r="C23" s="30"/>
      <c r="D23" s="37">
        <v>45412</v>
      </c>
      <c r="E23" s="30" t="s">
        <v>234</v>
      </c>
      <c r="F23" s="30">
        <v>5.66</v>
      </c>
      <c r="G23" s="30">
        <v>0</v>
      </c>
    </row>
    <row r="24" spans="1:7">
      <c r="A24" s="37">
        <v>45418</v>
      </c>
      <c r="B24" s="30" t="s">
        <v>222</v>
      </c>
      <c r="C24" s="37">
        <v>45439</v>
      </c>
      <c r="D24" s="37">
        <v>45418</v>
      </c>
      <c r="E24" s="30" t="s">
        <v>235</v>
      </c>
      <c r="F24" s="32">
        <v>733547.76</v>
      </c>
      <c r="G24" s="30">
        <v>0</v>
      </c>
    </row>
    <row r="25" spans="1:7" ht="40">
      <c r="A25" s="37">
        <v>45443</v>
      </c>
      <c r="B25" s="30" t="s">
        <v>233</v>
      </c>
      <c r="C25" s="30"/>
      <c r="D25" s="37">
        <v>45443</v>
      </c>
      <c r="E25" s="30" t="s">
        <v>236</v>
      </c>
      <c r="F25" s="30">
        <v>16.989999999999998</v>
      </c>
      <c r="G25" s="30">
        <v>0</v>
      </c>
    </row>
    <row r="26" spans="1:7" ht="79">
      <c r="A26" s="37">
        <v>45443</v>
      </c>
      <c r="B26" s="30" t="s">
        <v>218</v>
      </c>
      <c r="C26" s="30"/>
      <c r="D26" s="37">
        <v>45443</v>
      </c>
      <c r="E26" s="30" t="s">
        <v>237</v>
      </c>
      <c r="F26" s="30">
        <v>0</v>
      </c>
      <c r="G26" s="32">
        <v>762600</v>
      </c>
    </row>
    <row r="27" spans="1:7">
      <c r="A27" s="37">
        <v>45462</v>
      </c>
      <c r="B27" s="30" t="s">
        <v>222</v>
      </c>
      <c r="C27" s="37">
        <v>45483</v>
      </c>
      <c r="D27" s="37">
        <v>45462</v>
      </c>
      <c r="E27" s="30" t="s">
        <v>238</v>
      </c>
      <c r="F27" s="32">
        <v>733547.76</v>
      </c>
      <c r="G27" s="30">
        <v>0</v>
      </c>
    </row>
    <row r="28" spans="1:7" ht="40">
      <c r="A28" s="37">
        <v>45473</v>
      </c>
      <c r="B28" s="30" t="s">
        <v>233</v>
      </c>
      <c r="C28" s="30"/>
      <c r="D28" s="37">
        <v>45473</v>
      </c>
      <c r="E28" s="30" t="s">
        <v>239</v>
      </c>
      <c r="F28" s="30">
        <v>24.34</v>
      </c>
      <c r="G28" s="30">
        <v>0</v>
      </c>
    </row>
    <row r="29" spans="1:7" ht="79">
      <c r="A29" s="37">
        <v>45488</v>
      </c>
      <c r="B29" s="30" t="s">
        <v>218</v>
      </c>
      <c r="C29" s="30"/>
      <c r="D29" s="37">
        <v>45488</v>
      </c>
      <c r="E29" s="30" t="s">
        <v>240</v>
      </c>
      <c r="F29" s="30">
        <v>0</v>
      </c>
      <c r="G29" s="32">
        <v>761587</v>
      </c>
    </row>
    <row r="30" spans="1:7">
      <c r="A30" s="37">
        <v>45493</v>
      </c>
      <c r="B30" s="30" t="s">
        <v>222</v>
      </c>
      <c r="C30" s="37">
        <v>45514</v>
      </c>
      <c r="D30" s="37">
        <v>45493</v>
      </c>
      <c r="E30" s="30" t="s">
        <v>241</v>
      </c>
      <c r="F30" s="32">
        <v>733547.76</v>
      </c>
      <c r="G30" s="30">
        <v>0</v>
      </c>
    </row>
    <row r="31" spans="1:7" ht="40">
      <c r="A31" s="37">
        <v>45504</v>
      </c>
      <c r="B31" s="30" t="s">
        <v>233</v>
      </c>
      <c r="C31" s="30"/>
      <c r="D31" s="37">
        <v>45504</v>
      </c>
      <c r="E31" s="30" t="s">
        <v>242</v>
      </c>
      <c r="F31" s="30">
        <v>26</v>
      </c>
      <c r="G31" s="30">
        <v>0</v>
      </c>
    </row>
    <row r="32" spans="1:7">
      <c r="A32" s="37">
        <v>45507</v>
      </c>
      <c r="B32" s="30" t="s">
        <v>243</v>
      </c>
      <c r="C32" s="37">
        <v>45528</v>
      </c>
      <c r="D32" s="37">
        <v>45329</v>
      </c>
      <c r="E32" s="30" t="s">
        <v>244</v>
      </c>
      <c r="F32" s="32">
        <v>45846.76</v>
      </c>
      <c r="G32" s="30">
        <v>0</v>
      </c>
    </row>
    <row r="33" spans="1:7" ht="27">
      <c r="A33" s="37">
        <v>45507</v>
      </c>
      <c r="B33" s="30" t="s">
        <v>243</v>
      </c>
      <c r="C33" s="37">
        <v>45528</v>
      </c>
      <c r="D33" s="37">
        <v>45338</v>
      </c>
      <c r="E33" s="30" t="s">
        <v>245</v>
      </c>
      <c r="F33" s="32">
        <v>45846.76</v>
      </c>
      <c r="G33" s="30">
        <v>0</v>
      </c>
    </row>
    <row r="34" spans="1:7">
      <c r="A34" s="37">
        <v>45507</v>
      </c>
      <c r="B34" s="30" t="s">
        <v>243</v>
      </c>
      <c r="C34" s="37">
        <v>45528</v>
      </c>
      <c r="D34" s="37">
        <v>45338</v>
      </c>
      <c r="E34" s="30" t="s">
        <v>246</v>
      </c>
      <c r="F34" s="32">
        <v>36677.440000000002</v>
      </c>
      <c r="G34" s="30">
        <v>0</v>
      </c>
    </row>
    <row r="35" spans="1:7">
      <c r="A35" s="37">
        <v>45507</v>
      </c>
      <c r="B35" s="30" t="s">
        <v>243</v>
      </c>
      <c r="C35" s="37">
        <v>45528</v>
      </c>
      <c r="D35" s="37">
        <v>45338</v>
      </c>
      <c r="E35" s="30" t="s">
        <v>247</v>
      </c>
      <c r="F35" s="32">
        <v>45846.76</v>
      </c>
      <c r="G35" s="30">
        <v>0</v>
      </c>
    </row>
    <row r="36" spans="1:7">
      <c r="A36" s="37">
        <v>45507</v>
      </c>
      <c r="B36" s="30" t="s">
        <v>243</v>
      </c>
      <c r="C36" s="37">
        <v>45528</v>
      </c>
      <c r="D36" s="37">
        <v>45338</v>
      </c>
      <c r="E36" s="30" t="s">
        <v>248</v>
      </c>
      <c r="F36" s="32">
        <v>36677.39</v>
      </c>
      <c r="G36" s="30">
        <v>0</v>
      </c>
    </row>
    <row r="37" spans="1:7">
      <c r="A37" s="37">
        <v>45507</v>
      </c>
      <c r="B37" s="30" t="s">
        <v>243</v>
      </c>
      <c r="C37" s="37">
        <v>45528</v>
      </c>
      <c r="D37" s="37">
        <v>45338</v>
      </c>
      <c r="E37" s="30" t="s">
        <v>249</v>
      </c>
      <c r="F37" s="32">
        <v>36677.39</v>
      </c>
      <c r="G37" s="30">
        <v>0</v>
      </c>
    </row>
    <row r="38" spans="1:7">
      <c r="A38" s="37">
        <v>45507</v>
      </c>
      <c r="B38" s="30" t="s">
        <v>243</v>
      </c>
      <c r="C38" s="37">
        <v>45528</v>
      </c>
      <c r="D38" s="37">
        <v>45378</v>
      </c>
      <c r="E38" s="30" t="s">
        <v>250</v>
      </c>
      <c r="F38" s="32">
        <v>36677.39</v>
      </c>
      <c r="G38" s="30">
        <v>0</v>
      </c>
    </row>
    <row r="39" spans="1:7">
      <c r="A39" s="37">
        <v>45507</v>
      </c>
      <c r="B39" s="30" t="s">
        <v>243</v>
      </c>
      <c r="C39" s="37">
        <v>45528</v>
      </c>
      <c r="D39" s="37">
        <v>45417</v>
      </c>
      <c r="E39" s="30" t="s">
        <v>251</v>
      </c>
      <c r="F39" s="32">
        <v>36677.39</v>
      </c>
      <c r="G39" s="30">
        <v>0</v>
      </c>
    </row>
    <row r="40" spans="1:7">
      <c r="A40" s="37">
        <v>45507</v>
      </c>
      <c r="B40" s="30" t="s">
        <v>243</v>
      </c>
      <c r="C40" s="37">
        <v>45528</v>
      </c>
      <c r="D40" s="37">
        <v>45461</v>
      </c>
      <c r="E40" s="30" t="s">
        <v>252</v>
      </c>
      <c r="F40" s="32">
        <v>36677.39</v>
      </c>
      <c r="G40" s="30">
        <v>0</v>
      </c>
    </row>
    <row r="41" spans="1:7">
      <c r="A41" s="37">
        <v>45507</v>
      </c>
      <c r="B41" s="30" t="s">
        <v>243</v>
      </c>
      <c r="C41" s="37">
        <v>45528</v>
      </c>
      <c r="D41" s="37">
        <v>45492</v>
      </c>
      <c r="E41" s="30" t="s">
        <v>253</v>
      </c>
      <c r="F41" s="32">
        <v>36677.39</v>
      </c>
      <c r="G41" s="30">
        <v>0</v>
      </c>
    </row>
    <row r="42" spans="1:7">
      <c r="A42" s="37">
        <v>45507</v>
      </c>
      <c r="B42" s="30" t="s">
        <v>254</v>
      </c>
      <c r="C42" s="37">
        <v>45507</v>
      </c>
      <c r="D42" s="37">
        <v>45339</v>
      </c>
      <c r="E42" s="30" t="s">
        <v>255</v>
      </c>
      <c r="F42" s="32">
        <v>49020</v>
      </c>
      <c r="G42" s="30">
        <v>0</v>
      </c>
    </row>
    <row r="43" spans="1:7">
      <c r="A43" s="37">
        <v>45507</v>
      </c>
      <c r="B43" s="30" t="s">
        <v>256</v>
      </c>
      <c r="C43" s="30"/>
      <c r="D43" s="37">
        <v>45357</v>
      </c>
      <c r="E43" s="30" t="s">
        <v>257</v>
      </c>
      <c r="F43" s="30">
        <v>0</v>
      </c>
      <c r="G43" s="32">
        <v>1250</v>
      </c>
    </row>
    <row r="44" spans="1:7">
      <c r="A44" s="37">
        <v>45507</v>
      </c>
      <c r="B44" s="30" t="s">
        <v>256</v>
      </c>
      <c r="C44" s="30"/>
      <c r="D44" s="37">
        <v>45357</v>
      </c>
      <c r="E44" s="30" t="s">
        <v>257</v>
      </c>
      <c r="F44" s="30">
        <v>0</v>
      </c>
      <c r="G44" s="32">
        <v>1250</v>
      </c>
    </row>
    <row r="45" spans="1:7">
      <c r="A45" s="37">
        <v>45507</v>
      </c>
      <c r="B45" s="30" t="s">
        <v>256</v>
      </c>
      <c r="C45" s="30"/>
      <c r="D45" s="37">
        <v>45357</v>
      </c>
      <c r="E45" s="30" t="s">
        <v>257</v>
      </c>
      <c r="F45" s="30">
        <v>0</v>
      </c>
      <c r="G45" s="32">
        <v>2500</v>
      </c>
    </row>
    <row r="46" spans="1:7">
      <c r="A46" s="37">
        <v>45507</v>
      </c>
      <c r="B46" s="30" t="s">
        <v>256</v>
      </c>
      <c r="C46" s="30"/>
      <c r="D46" s="37">
        <v>45357</v>
      </c>
      <c r="E46" s="30" t="s">
        <v>257</v>
      </c>
      <c r="F46" s="30">
        <v>0</v>
      </c>
      <c r="G46" s="32">
        <v>4532</v>
      </c>
    </row>
    <row r="47" spans="1:7">
      <c r="A47" s="37">
        <v>45507</v>
      </c>
      <c r="B47" s="30" t="s">
        <v>256</v>
      </c>
      <c r="C47" s="30"/>
      <c r="D47" s="37">
        <v>45369</v>
      </c>
      <c r="E47" s="30" t="s">
        <v>257</v>
      </c>
      <c r="F47" s="30">
        <v>0</v>
      </c>
      <c r="G47" s="32">
        <v>42362</v>
      </c>
    </row>
    <row r="48" spans="1:7">
      <c r="A48" s="37">
        <v>45507</v>
      </c>
      <c r="B48" s="30" t="s">
        <v>256</v>
      </c>
      <c r="C48" s="30"/>
      <c r="D48" s="37">
        <v>45422</v>
      </c>
      <c r="E48" s="30" t="s">
        <v>257</v>
      </c>
      <c r="F48" s="30">
        <v>0</v>
      </c>
      <c r="G48" s="32">
        <v>7702.25</v>
      </c>
    </row>
    <row r="49" spans="1:7">
      <c r="A49" s="37">
        <v>45507</v>
      </c>
      <c r="B49" s="30" t="s">
        <v>256</v>
      </c>
      <c r="C49" s="30"/>
      <c r="D49" s="37">
        <v>45461</v>
      </c>
      <c r="E49" s="30" t="s">
        <v>257</v>
      </c>
      <c r="F49" s="30">
        <v>0</v>
      </c>
      <c r="G49" s="32">
        <v>7626</v>
      </c>
    </row>
    <row r="50" spans="1:7" ht="79">
      <c r="A50" s="37">
        <v>45517</v>
      </c>
      <c r="B50" s="30" t="s">
        <v>218</v>
      </c>
      <c r="C50" s="30"/>
      <c r="D50" s="37">
        <v>45517</v>
      </c>
      <c r="E50" s="30" t="s">
        <v>258</v>
      </c>
      <c r="F50" s="30">
        <v>0</v>
      </c>
      <c r="G50" s="32">
        <v>777866</v>
      </c>
    </row>
    <row r="51" spans="1:7" ht="40">
      <c r="A51" s="37">
        <v>45742</v>
      </c>
      <c r="B51" s="30" t="s">
        <v>222</v>
      </c>
      <c r="C51" s="37">
        <v>45762</v>
      </c>
      <c r="D51" s="37">
        <v>45742</v>
      </c>
      <c r="E51" s="30" t="s">
        <v>259</v>
      </c>
      <c r="F51" s="32">
        <v>825241.48</v>
      </c>
      <c r="G51" s="30">
        <v>0</v>
      </c>
    </row>
    <row r="52" spans="1:7" ht="27">
      <c r="A52" s="37">
        <v>45742</v>
      </c>
      <c r="B52" s="30" t="s">
        <v>243</v>
      </c>
      <c r="C52" s="37">
        <v>45762</v>
      </c>
      <c r="D52" s="37">
        <v>45742</v>
      </c>
      <c r="E52" s="30" t="s">
        <v>260</v>
      </c>
      <c r="F52" s="32">
        <v>20631.04</v>
      </c>
      <c r="G52" s="30">
        <v>0</v>
      </c>
    </row>
    <row r="53" spans="1:7" ht="27">
      <c r="A53" s="37">
        <v>45742</v>
      </c>
      <c r="B53" s="30" t="s">
        <v>243</v>
      </c>
      <c r="C53" s="37">
        <v>45762</v>
      </c>
      <c r="D53" s="37">
        <v>45742</v>
      </c>
      <c r="E53" s="30" t="s">
        <v>261</v>
      </c>
      <c r="F53" s="32">
        <v>20631.04</v>
      </c>
      <c r="G53" s="30">
        <v>0</v>
      </c>
    </row>
    <row r="54" spans="1:7" ht="27">
      <c r="A54" s="37">
        <v>45752</v>
      </c>
      <c r="B54" s="30" t="s">
        <v>222</v>
      </c>
      <c r="C54" s="37">
        <v>45781</v>
      </c>
      <c r="D54" s="37">
        <v>45752</v>
      </c>
      <c r="E54" s="30" t="s">
        <v>262</v>
      </c>
      <c r="F54" s="32">
        <v>449831.39</v>
      </c>
      <c r="G54" s="30">
        <v>0</v>
      </c>
    </row>
    <row r="55" spans="1:7" ht="27">
      <c r="A55" s="37">
        <v>45752</v>
      </c>
      <c r="B55" s="30" t="s">
        <v>222</v>
      </c>
      <c r="C55" s="37">
        <v>45781</v>
      </c>
      <c r="D55" s="37">
        <v>45752</v>
      </c>
      <c r="E55" s="30" t="s">
        <v>263</v>
      </c>
      <c r="F55" s="32">
        <v>8636.1</v>
      </c>
      <c r="G55" s="30">
        <v>0</v>
      </c>
    </row>
    <row r="56" spans="1:7" ht="27">
      <c r="A56" s="37">
        <v>45752</v>
      </c>
      <c r="B56" s="30" t="s">
        <v>222</v>
      </c>
      <c r="C56" s="37">
        <v>45781</v>
      </c>
      <c r="D56" s="37">
        <v>45752</v>
      </c>
      <c r="E56" s="30" t="s">
        <v>264</v>
      </c>
      <c r="F56" s="32">
        <v>25105</v>
      </c>
      <c r="G56" s="30">
        <v>0</v>
      </c>
    </row>
    <row r="57" spans="1:7" ht="27">
      <c r="A57" s="37">
        <v>45752</v>
      </c>
      <c r="B57" s="30" t="s">
        <v>222</v>
      </c>
      <c r="C57" s="37">
        <v>45781</v>
      </c>
      <c r="D57" s="37">
        <v>45752</v>
      </c>
      <c r="E57" s="30" t="s">
        <v>265</v>
      </c>
      <c r="F57" s="32">
        <v>150630</v>
      </c>
      <c r="G57" s="30">
        <v>0</v>
      </c>
    </row>
    <row r="58" spans="1:7" ht="27">
      <c r="A58" s="37">
        <v>45752</v>
      </c>
      <c r="B58" s="30" t="s">
        <v>222</v>
      </c>
      <c r="C58" s="37">
        <v>45781</v>
      </c>
      <c r="D58" s="37">
        <v>45752</v>
      </c>
      <c r="E58" s="30" t="s">
        <v>266</v>
      </c>
      <c r="F58" s="32">
        <v>14400</v>
      </c>
      <c r="G58" s="30">
        <v>0</v>
      </c>
    </row>
    <row r="59" spans="1:7" ht="27">
      <c r="A59" s="37">
        <v>45752</v>
      </c>
      <c r="B59" s="30" t="s">
        <v>222</v>
      </c>
      <c r="C59" s="37">
        <v>45781</v>
      </c>
      <c r="D59" s="37">
        <v>45752</v>
      </c>
      <c r="E59" s="30" t="s">
        <v>267</v>
      </c>
      <c r="F59" s="32">
        <v>4200</v>
      </c>
      <c r="G59" s="30">
        <v>0</v>
      </c>
    </row>
    <row r="60" spans="1:7" ht="27">
      <c r="A60" s="37">
        <v>45752</v>
      </c>
      <c r="B60" s="30" t="s">
        <v>222</v>
      </c>
      <c r="C60" s="37">
        <v>45781</v>
      </c>
      <c r="D60" s="37">
        <v>45752</v>
      </c>
      <c r="E60" s="30" t="s">
        <v>268</v>
      </c>
      <c r="F60" s="32">
        <v>5000</v>
      </c>
      <c r="G60" s="30">
        <v>0</v>
      </c>
    </row>
    <row r="61" spans="1:7" ht="27">
      <c r="A61" s="37">
        <v>45752</v>
      </c>
      <c r="B61" s="30" t="s">
        <v>243</v>
      </c>
      <c r="C61" s="37">
        <v>45781</v>
      </c>
      <c r="D61" s="37">
        <v>45752</v>
      </c>
      <c r="E61" s="30" t="s">
        <v>269</v>
      </c>
      <c r="F61" s="32">
        <v>11245.79</v>
      </c>
      <c r="G61" s="30">
        <v>0</v>
      </c>
    </row>
    <row r="62" spans="1:7" ht="27">
      <c r="A62" s="37">
        <v>45752</v>
      </c>
      <c r="B62" s="30" t="s">
        <v>243</v>
      </c>
      <c r="C62" s="37">
        <v>45781</v>
      </c>
      <c r="D62" s="37">
        <v>45752</v>
      </c>
      <c r="E62" s="30" t="s">
        <v>270</v>
      </c>
      <c r="F62" s="32">
        <v>11245.79</v>
      </c>
      <c r="G62" s="30">
        <v>0</v>
      </c>
    </row>
    <row r="63" spans="1:7" ht="27">
      <c r="A63" s="37">
        <v>45752</v>
      </c>
      <c r="B63" s="30" t="s">
        <v>243</v>
      </c>
      <c r="C63" s="37">
        <v>45781</v>
      </c>
      <c r="D63" s="37">
        <v>45752</v>
      </c>
      <c r="E63" s="30" t="s">
        <v>271</v>
      </c>
      <c r="F63" s="30">
        <v>215.9</v>
      </c>
      <c r="G63" s="30">
        <v>0</v>
      </c>
    </row>
    <row r="64" spans="1:7" ht="27">
      <c r="A64" s="37">
        <v>45752</v>
      </c>
      <c r="B64" s="30" t="s">
        <v>243</v>
      </c>
      <c r="C64" s="37">
        <v>45781</v>
      </c>
      <c r="D64" s="37">
        <v>45752</v>
      </c>
      <c r="E64" s="30" t="s">
        <v>272</v>
      </c>
      <c r="F64" s="30">
        <v>215.9</v>
      </c>
      <c r="G64" s="30">
        <v>0</v>
      </c>
    </row>
    <row r="65" spans="1:7" ht="40">
      <c r="A65" s="37">
        <v>45758</v>
      </c>
      <c r="B65" s="30" t="s">
        <v>243</v>
      </c>
      <c r="C65" s="37">
        <v>45779</v>
      </c>
      <c r="D65" s="37">
        <v>45758</v>
      </c>
      <c r="E65" s="30" t="s">
        <v>273</v>
      </c>
      <c r="F65" s="30">
        <v>378</v>
      </c>
      <c r="G65" s="30">
        <v>0</v>
      </c>
    </row>
    <row r="66" spans="1:7" ht="40">
      <c r="A66" s="37">
        <v>45758</v>
      </c>
      <c r="B66" s="30" t="s">
        <v>243</v>
      </c>
      <c r="C66" s="37">
        <v>45779</v>
      </c>
      <c r="D66" s="37">
        <v>45758</v>
      </c>
      <c r="E66" s="30" t="s">
        <v>274</v>
      </c>
      <c r="F66" s="30">
        <v>378</v>
      </c>
      <c r="G66" s="30">
        <v>0</v>
      </c>
    </row>
    <row r="67" spans="1:7" ht="92">
      <c r="A67" s="37">
        <v>45761</v>
      </c>
      <c r="B67" s="30" t="s">
        <v>218</v>
      </c>
      <c r="C67" s="30"/>
      <c r="D67" s="37">
        <v>45758</v>
      </c>
      <c r="E67" s="30" t="s">
        <v>275</v>
      </c>
      <c r="F67" s="30">
        <v>0</v>
      </c>
      <c r="G67" s="32">
        <v>857864.24</v>
      </c>
    </row>
    <row r="68" spans="1:7" ht="92">
      <c r="A68" s="37">
        <v>45771</v>
      </c>
      <c r="B68" s="30" t="s">
        <v>218</v>
      </c>
      <c r="C68" s="30"/>
      <c r="D68" s="37">
        <v>45770</v>
      </c>
      <c r="E68" s="30" t="s">
        <v>276</v>
      </c>
      <c r="F68" s="30">
        <v>0</v>
      </c>
      <c r="G68" s="32">
        <v>659503</v>
      </c>
    </row>
    <row r="69" spans="1:7" ht="27">
      <c r="A69" s="37">
        <v>45807</v>
      </c>
      <c r="B69" s="30" t="s">
        <v>256</v>
      </c>
      <c r="C69" s="30"/>
      <c r="D69" s="37">
        <v>45517</v>
      </c>
      <c r="E69" s="30" t="s">
        <v>277</v>
      </c>
      <c r="F69" s="30">
        <v>0</v>
      </c>
      <c r="G69" s="32">
        <v>7778.66</v>
      </c>
    </row>
    <row r="70" spans="1:7" ht="27">
      <c r="A70" s="37">
        <v>45807</v>
      </c>
      <c r="B70" s="30" t="s">
        <v>256</v>
      </c>
      <c r="C70" s="30"/>
      <c r="D70" s="37">
        <v>45761</v>
      </c>
      <c r="E70" s="30" t="s">
        <v>278</v>
      </c>
      <c r="F70" s="30">
        <v>0</v>
      </c>
      <c r="G70" s="32">
        <v>8578.64</v>
      </c>
    </row>
    <row r="71" spans="1:7" ht="27">
      <c r="A71" s="37">
        <v>45807</v>
      </c>
      <c r="B71" s="30" t="s">
        <v>256</v>
      </c>
      <c r="C71" s="30"/>
      <c r="D71" s="37">
        <v>45771</v>
      </c>
      <c r="E71" s="30" t="s">
        <v>279</v>
      </c>
      <c r="F71" s="30">
        <v>0</v>
      </c>
      <c r="G71" s="32">
        <v>6595</v>
      </c>
    </row>
    <row r="72" spans="1:7" ht="27">
      <c r="A72" s="37">
        <v>45807</v>
      </c>
      <c r="B72" s="30" t="s">
        <v>256</v>
      </c>
      <c r="C72" s="30"/>
      <c r="D72" s="37">
        <v>45507</v>
      </c>
      <c r="E72" s="30" t="s">
        <v>280</v>
      </c>
      <c r="F72" s="30">
        <v>0</v>
      </c>
      <c r="G72" s="32">
        <v>7615.87</v>
      </c>
    </row>
    <row r="73" spans="1:7">
      <c r="A73" s="37">
        <v>45839</v>
      </c>
      <c r="B73" s="30" t="s">
        <v>233</v>
      </c>
      <c r="C73" s="30"/>
      <c r="D73" s="37">
        <v>45839</v>
      </c>
      <c r="E73" s="30" t="s">
        <v>281</v>
      </c>
      <c r="F73" s="30">
        <v>0</v>
      </c>
      <c r="G73" s="30">
        <v>72.989999999999995</v>
      </c>
    </row>
    <row r="74" spans="1:7">
      <c r="A74" s="38"/>
      <c r="B74" s="39"/>
      <c r="C74" s="39"/>
      <c r="D74" s="39"/>
      <c r="E74" s="40"/>
      <c r="F74" s="41">
        <v>9877001.4000000004</v>
      </c>
      <c r="G74" s="41">
        <v>9876998.6500000004</v>
      </c>
    </row>
    <row r="75" spans="1:7">
      <c r="A75" s="42"/>
      <c r="B75" s="43"/>
      <c r="C75" s="43"/>
      <c r="D75" s="44"/>
      <c r="E75" s="42" t="s">
        <v>282</v>
      </c>
      <c r="F75" s="44"/>
      <c r="G75" s="31" t="s">
        <v>283</v>
      </c>
    </row>
  </sheetData>
  <mergeCells count="9">
    <mergeCell ref="A74:E74"/>
    <mergeCell ref="A75:D75"/>
    <mergeCell ref="E75:F75"/>
    <mergeCell ref="A1:D1"/>
    <mergeCell ref="A8:A9"/>
    <mergeCell ref="B8:B9"/>
    <mergeCell ref="C8:C9"/>
    <mergeCell ref="D8:D9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new</vt:lpstr>
      <vt:lpstr>BOB</vt:lpstr>
      <vt:lpstr>Sobha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Gupta</dc:creator>
  <cp:lastModifiedBy>Apoorv Gupta</cp:lastModifiedBy>
  <dcterms:created xsi:type="dcterms:W3CDTF">2024-11-10T13:34:42Z</dcterms:created>
  <dcterms:modified xsi:type="dcterms:W3CDTF">2025-10-15T01:04:18Z</dcterms:modified>
</cp:coreProperties>
</file>