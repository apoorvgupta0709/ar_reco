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aec751d2e51cb49/Desktop/Personal/11 Properties/"/>
    </mc:Choice>
  </mc:AlternateContent>
  <xr:revisionPtr revIDLastSave="6" documentId="14_{5D9E1A97-0081-4BE3-B819-0EA2CA9D6A1D}" xr6:coauthVersionLast="47" xr6:coauthVersionMax="47" xr10:uidLastSave="{BB04EF70-E72E-4E67-B3CF-772A4C0A7934}"/>
  <bookViews>
    <workbookView xWindow="-110" yWindow="-110" windowWidth="19420" windowHeight="11500" xr2:uid="{00000000-000D-0000-FFFF-FFFF00000000}"/>
  </bookViews>
  <sheets>
    <sheet name="Top sheet" sheetId="2" r:id="rId1"/>
    <sheet name="Rest of the expenses by R" sheetId="15" r:id="rId2"/>
    <sheet name=" EMI till May" sheetId="11" r:id="rId3"/>
    <sheet name="Rent&amp; utilities" sheetId="1" r:id="rId4"/>
    <sheet name="Maid salaries" sheetId="3" r:id="rId5"/>
    <sheet name="Oorvi's school" sheetId="6" r:id="rId6"/>
    <sheet name="EMI acc txn dump" sheetId="12" r:id="rId7"/>
  </sheets>
  <definedNames>
    <definedName name="_xlnm._FilterDatabase" localSheetId="6" hidden="1">'EMI acc txn dump'!$B$4:$AC$121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5" l="1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C21" i="2"/>
  <c r="I8" i="2"/>
  <c r="H4" i="2"/>
  <c r="C23" i="2"/>
  <c r="C22" i="2"/>
  <c r="E11" i="1"/>
  <c r="I6" i="2"/>
  <c r="G4" i="2"/>
  <c r="E11" i="3"/>
  <c r="E34" i="6"/>
  <c r="F4" i="2"/>
  <c r="C3" i="15"/>
  <c r="C7" i="15"/>
  <c r="C2" i="15"/>
  <c r="E4" i="15"/>
  <c r="F4" i="15"/>
  <c r="F6" i="15"/>
  <c r="F7" i="15"/>
  <c r="E6" i="15"/>
  <c r="E7" i="15"/>
  <c r="G7" i="15"/>
  <c r="I23" i="15"/>
  <c r="J23" i="15"/>
  <c r="K23" i="15"/>
  <c r="D7" i="15"/>
  <c r="G15" i="15"/>
  <c r="F15" i="15"/>
  <c r="C16" i="15"/>
  <c r="E16" i="15"/>
  <c r="D16" i="15"/>
  <c r="E31" i="6"/>
  <c r="E15" i="15"/>
  <c r="E18" i="15"/>
  <c r="H21" i="15"/>
  <c r="F21" i="15"/>
  <c r="G21" i="15"/>
  <c r="J22" i="15"/>
  <c r="J19" i="15"/>
  <c r="F12" i="15"/>
  <c r="E12" i="15"/>
  <c r="D12" i="15"/>
  <c r="G12" i="15"/>
  <c r="D6" i="15"/>
  <c r="C6" i="15"/>
  <c r="C18" i="15"/>
  <c r="I15" i="15"/>
  <c r="F18" i="15"/>
  <c r="D18" i="15"/>
  <c r="G18" i="15"/>
  <c r="D14" i="15"/>
  <c r="E14" i="15"/>
  <c r="C14" i="15"/>
  <c r="G14" i="15"/>
  <c r="F14" i="15"/>
  <c r="D13" i="15"/>
  <c r="G13" i="15"/>
  <c r="F13" i="15"/>
  <c r="D4" i="15"/>
  <c r="C4" i="15"/>
  <c r="G5" i="15"/>
  <c r="E5" i="15"/>
  <c r="D5" i="15"/>
  <c r="K22" i="15"/>
  <c r="G22" i="15"/>
  <c r="I22" i="15"/>
  <c r="H22" i="15"/>
  <c r="F22" i="15"/>
  <c r="E22" i="15"/>
  <c r="D22" i="15"/>
  <c r="C22" i="15"/>
  <c r="G9" i="15"/>
  <c r="F9" i="15"/>
  <c r="E9" i="15"/>
  <c r="D15" i="15"/>
  <c r="E7" i="3"/>
  <c r="E6" i="3"/>
  <c r="E5" i="3"/>
  <c r="E4" i="3"/>
  <c r="E3" i="3"/>
  <c r="E10" i="1"/>
  <c r="F9" i="1"/>
  <c r="E7" i="1"/>
  <c r="F7" i="1"/>
  <c r="E3" i="1"/>
  <c r="C5" i="2"/>
  <c r="I5" i="2" s="1"/>
  <c r="I7" i="2"/>
  <c r="H6" i="2"/>
  <c r="J123" i="12"/>
  <c r="I9" i="11"/>
  <c r="I8" i="11"/>
  <c r="J6" i="2"/>
  <c r="D5" i="2"/>
  <c r="J5" i="2" s="1"/>
  <c r="D4" i="2"/>
  <c r="D7" i="2"/>
  <c r="J7" i="2" s="1"/>
  <c r="E4" i="1"/>
  <c r="E8" i="1"/>
  <c r="E12" i="1"/>
  <c r="F12" i="1"/>
  <c r="J8" i="2" s="1"/>
  <c r="F6" i="1"/>
  <c r="F4" i="1"/>
  <c r="F5" i="1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14" i="6"/>
  <c r="E13" i="6"/>
  <c r="E10" i="3"/>
  <c r="E9" i="3"/>
  <c r="E8" i="3"/>
  <c r="D12" i="3"/>
  <c r="L23" i="15" l="1"/>
  <c r="C26" i="2" s="1"/>
  <c r="C24" i="2"/>
  <c r="E12" i="3"/>
  <c r="J9" i="2" s="1"/>
  <c r="I9" i="2"/>
  <c r="I4" i="2"/>
  <c r="D23" i="15"/>
  <c r="E23" i="15"/>
  <c r="H23" i="15"/>
  <c r="G23" i="15"/>
  <c r="C23" i="15"/>
  <c r="F23" i="15"/>
  <c r="L2" i="15"/>
  <c r="J4" i="2"/>
  <c r="C28" i="2" l="1"/>
  <c r="I13" i="2"/>
  <c r="J10" i="2"/>
  <c r="J13" i="2" s="1"/>
  <c r="J14" i="2" l="1"/>
</calcChain>
</file>

<file path=xl/sharedStrings.xml><?xml version="1.0" encoding="utf-8"?>
<sst xmlns="http://schemas.openxmlformats.org/spreadsheetml/2006/main" count="541" uniqueCount="412">
  <si>
    <t>Sobha</t>
  </si>
  <si>
    <t>One DXP</t>
  </si>
  <si>
    <t>Down payment by A</t>
  </si>
  <si>
    <t>Down payment by R</t>
  </si>
  <si>
    <t xml:space="preserve">Rent </t>
  </si>
  <si>
    <t>TDS paid by A</t>
  </si>
  <si>
    <t>Total A</t>
  </si>
  <si>
    <t>Total R</t>
  </si>
  <si>
    <t>EMIs paid by A</t>
  </si>
  <si>
    <t>EMIs paid by R</t>
  </si>
  <si>
    <t>A</t>
  </si>
  <si>
    <t>R</t>
  </si>
  <si>
    <t>Maid salaries</t>
  </si>
  <si>
    <t>O's school</t>
  </si>
  <si>
    <t>Category</t>
  </si>
  <si>
    <t>Car Tiago</t>
  </si>
  <si>
    <t>Car XUV 700</t>
  </si>
  <si>
    <t>included above</t>
  </si>
  <si>
    <t>APOORV</t>
  </si>
  <si>
    <t>RUPINDER</t>
  </si>
  <si>
    <t xml:space="preserve">APOORV </t>
  </si>
  <si>
    <t>TRAN DATE</t>
  </si>
  <si>
    <t>VALUE DATE</t>
  </si>
  <si>
    <t>NARRATION</t>
  </si>
  <si>
    <t>DEPOSIT(CR)</t>
  </si>
  <si>
    <t>BALANCE(INR)</t>
  </si>
  <si>
    <t>09/05/2026</t>
  </si>
  <si>
    <t>NEFT-AXOMB12902007285-RUPINDER  SAINI</t>
  </si>
  <si>
    <t xml:space="preserve"> 9,054.70Cr</t>
  </si>
  <si>
    <t>07/05/2026</t>
  </si>
  <si>
    <t>IMPS/P2A/612713210486/APOORVGUPTA/IMPSAXB91783859</t>
  </si>
  <si>
    <t xml:space="preserve"> 1,59,945.30Dr</t>
  </si>
  <si>
    <t>01/05/2026</t>
  </si>
  <si>
    <t>30/04/2026</t>
  </si>
  <si>
    <t>78770100030383:Int.Pd:01-02-2026 to 30-04-2026</t>
  </si>
  <si>
    <t xml:space="preserve"> 2,79,945.30Dr</t>
  </si>
  <si>
    <t>08/04/2026</t>
  </si>
  <si>
    <t>IMPS/P2A/609880685998/APOORVGUPTA/78770100030383A</t>
  </si>
  <si>
    <t xml:space="preserve"> 2,80,192.30Dr</t>
  </si>
  <si>
    <t>IMPS/P2A/609879923681/APOORVGUPTA/78770100030383A</t>
  </si>
  <si>
    <t xml:space="preserve"> 2,92,192.30Dr</t>
  </si>
  <si>
    <t>NEFT-AXOMB09802007975-RUPINDER  SAINI</t>
  </si>
  <si>
    <t xml:space="preserve"> 4,00,192.30Dr</t>
  </si>
  <si>
    <t>08/03/2026</t>
  </si>
  <si>
    <t>NEFT-AXOMB06702008139-RUPINDER  SAINI</t>
  </si>
  <si>
    <t xml:space="preserve"> 5,69,192.30Dr</t>
  </si>
  <si>
    <t>06/03/2026</t>
  </si>
  <si>
    <t>IMPS/P2A/606554515309/APOORVGUPTA/IMPSAXB91783859</t>
  </si>
  <si>
    <t xml:space="preserve"> 7,38,192.30Dr</t>
  </si>
  <si>
    <t>09/02/2026</t>
  </si>
  <si>
    <t>IMPS/P2A/604069515644/APOORVGUPTA/IMPSAXB91783859</t>
  </si>
  <si>
    <t xml:space="preserve"> 8,58,192.30Dr</t>
  </si>
  <si>
    <t>05/02/2026</t>
  </si>
  <si>
    <t>31/01/2026</t>
  </si>
  <si>
    <t>78770100030383:Int.Pd:01-11-2025 to 31-01-2026</t>
  </si>
  <si>
    <t xml:space="preserve"> 9,78,192.30Dr</t>
  </si>
  <si>
    <t>02/02/2026</t>
  </si>
  <si>
    <t>NEFT-AXOMB03302152305-RUPINDER  SAINI</t>
  </si>
  <si>
    <t xml:space="preserve"> 9,78,418.30Dr</t>
  </si>
  <si>
    <t>04/01/2026</t>
  </si>
  <si>
    <t>IMPS/P2A/600436704097/APOORVGUPTA/IMPSAXB91783859</t>
  </si>
  <si>
    <t xml:space="preserve"> 11,47,418.30Dr</t>
  </si>
  <si>
    <t>NEFT-AXOMB00402065250-RUPINDER  SAINI</t>
  </si>
  <si>
    <t xml:space="preserve"> 12,67,418.30Dr</t>
  </si>
  <si>
    <t>09/12/2025</t>
  </si>
  <si>
    <t>IMPS/P2A/534340009751/APOORVGUPTA/IMPSAXB91783859</t>
  </si>
  <si>
    <t xml:space="preserve"> 14,36,418.30Dr</t>
  </si>
  <si>
    <t>NEFT-AXOMB34302058832-RUPINDER  SAINI</t>
  </si>
  <si>
    <t xml:space="preserve"> 15,56,418.30Dr</t>
  </si>
  <si>
    <t>10/11/2025</t>
  </si>
  <si>
    <t>78770600001599 Disbursement Credit</t>
  </si>
  <si>
    <t xml:space="preserve"> 17,25,418.30Dr</t>
  </si>
  <si>
    <t>IMPS/P2A/531424892435/APOORVGUPTA/IMPSAXB91783859</t>
  </si>
  <si>
    <t xml:space="preserve"> 1,19,35,621.30Dr</t>
  </si>
  <si>
    <t>NEFT-AXOMB31402041790-RUPINDER  SAINI</t>
  </si>
  <si>
    <t xml:space="preserve"> 1,20,56,621.30Dr</t>
  </si>
  <si>
    <t>07/11/2025</t>
  </si>
  <si>
    <t>IMPS/P2A/531113462867/APOORVGUPTA/78770100030383A</t>
  </si>
  <si>
    <t xml:space="preserve"> 1,24,81,621.30Dr</t>
  </si>
  <si>
    <t>IMPS/P2A/531113453401/APOORVGUPTA/78770100030383A</t>
  </si>
  <si>
    <t xml:space="preserve"> 1,27,71,621.30Dr</t>
  </si>
  <si>
    <t>01/11/2025</t>
  </si>
  <si>
    <t>31/10/2025</t>
  </si>
  <si>
    <t>78770100030383:Int.Pd:01-08-2025 to 31-10-2025</t>
  </si>
  <si>
    <t xml:space="preserve"> 1,27,71,622.30Dr</t>
  </si>
  <si>
    <t>NEFT-AXOMB30502139327-RUPINDER  SAINI</t>
  </si>
  <si>
    <t xml:space="preserve"> 1,27,72,133.30Dr</t>
  </si>
  <si>
    <t>09/10/2025</t>
  </si>
  <si>
    <t>IMPS/P2A/528291744155/APOORVGUPTA/IMPSAXB91783859</t>
  </si>
  <si>
    <t xml:space="preserve"> 1,29,41,133.30Dr</t>
  </si>
  <si>
    <t>05/10/2025</t>
  </si>
  <si>
    <t>IMPS/P2A/527873648630/APOORVGUPTA/IMPSAXB91783859</t>
  </si>
  <si>
    <t xml:space="preserve"> 1,30,03,133.30Dr</t>
  </si>
  <si>
    <t>02/10/2025</t>
  </si>
  <si>
    <t>NEFT-AXOMB27502066383-RUPINDER  SAINI</t>
  </si>
  <si>
    <t xml:space="preserve"> 1,30,58,133.30Dr</t>
  </si>
  <si>
    <t>05/09/2025</t>
  </si>
  <si>
    <t>IMPS/P2A/524821386247/APOORVGUPTA/IMPSAXB91783859</t>
  </si>
  <si>
    <t xml:space="preserve"> 1,31,78,133.30Dr</t>
  </si>
  <si>
    <t>31/08/2025</t>
  </si>
  <si>
    <t>NEFT-AXOMB24302112077-RUPINDER  SAINI</t>
  </si>
  <si>
    <t xml:space="preserve"> 1,32,33,133.30Dr</t>
  </si>
  <si>
    <t>05/08/2025</t>
  </si>
  <si>
    <t>IMPS/P2A/521765762463/APOORVGUPTA/IMPSAXB91783859</t>
  </si>
  <si>
    <t xml:space="preserve"> 1,32,82,133.30Dr</t>
  </si>
  <si>
    <t>03/08/2025</t>
  </si>
  <si>
    <t>NEFT-AXOMB21502094741-RUPINDER  SAINI</t>
  </si>
  <si>
    <t xml:space="preserve"> 1,33,37,133.30Dr</t>
  </si>
  <si>
    <t>31/07/2025</t>
  </si>
  <si>
    <t>78770100030383:Int.Pd:01-05-2025 to 31-07-2025</t>
  </si>
  <si>
    <t xml:space="preserve"> 1,33,86,208.30Dr</t>
  </si>
  <si>
    <t>05/07/2025</t>
  </si>
  <si>
    <t>IMPS/P2A/518612969181/APOORVGUPTA/IMPSAXB91783859</t>
  </si>
  <si>
    <t xml:space="preserve"> 1,33,86,603.30Dr</t>
  </si>
  <si>
    <t>30/06/2025</t>
  </si>
  <si>
    <t>NEFT-AXOMB18102068204-RUPINDER  SAINI</t>
  </si>
  <si>
    <t xml:space="preserve"> 1,34,41,603.30Dr</t>
  </si>
  <si>
    <t>09/06/2025</t>
  </si>
  <si>
    <t>NEFT-AXOMB16002000331-RUPINDER  SAINI</t>
  </si>
  <si>
    <t xml:space="preserve"> 1,34,94,003.30Dr</t>
  </si>
  <si>
    <t>05/06/2025</t>
  </si>
  <si>
    <t>IMPS/P2A/515608146561/APOORVGUPTA/IMPSAXB91783859</t>
  </si>
  <si>
    <t xml:space="preserve"> 1,35,46,403.30Dr</t>
  </si>
  <si>
    <t>05/05/2025</t>
  </si>
  <si>
    <t>IMPS/P2A/512507189807/APOORVGUPTA/IMPSAXB91783859</t>
  </si>
  <si>
    <t xml:space="preserve"> 1,36,01,403.30Dr</t>
  </si>
  <si>
    <t>01/05/2025</t>
  </si>
  <si>
    <t>NEFT-AXOMB12147545530-RUPINDER  SAINI</t>
  </si>
  <si>
    <t xml:space="preserve"> 1,36,56,403.30Dr</t>
  </si>
  <si>
    <t>30/04/2025</t>
  </si>
  <si>
    <t>78770100030383:Int.Pd:01-02-2025 to 30-04-2025</t>
  </si>
  <si>
    <t xml:space="preserve"> 1,37,23,403.30Dr</t>
  </si>
  <si>
    <t>23/04/2025</t>
  </si>
  <si>
    <t>73960600003596 Disbursement Credit</t>
  </si>
  <si>
    <t xml:space="preserve"> 1,37,23,601.30Dr</t>
  </si>
  <si>
    <t>11/04/2025</t>
  </si>
  <si>
    <t xml:space="preserve"> 1,43,83,104.30Dr</t>
  </si>
  <si>
    <t>08/04/2025</t>
  </si>
  <si>
    <t>NEFT-AXOMB09853070715-RUPINDER  SAINI</t>
  </si>
  <si>
    <t xml:space="preserve"> 1,52,40,968.54Dr</t>
  </si>
  <si>
    <t>05/04/2025</t>
  </si>
  <si>
    <t>IMPS/P2A/509508432427/APOORVGUPTA/IMPSAXB91783859</t>
  </si>
  <si>
    <t xml:space="preserve"> 1,52,65,968.54Dr</t>
  </si>
  <si>
    <t>05/03/2025</t>
  </si>
  <si>
    <t>IMPS/P2A/506407763926/APOORVGUPTA/IMPSAXB91783859</t>
  </si>
  <si>
    <t xml:space="preserve"> 1,53,20,968.54Dr</t>
  </si>
  <si>
    <t>28/02/2025</t>
  </si>
  <si>
    <t>NEFT-AXOMB05980831494-RUPINDER  SAINI</t>
  </si>
  <si>
    <t xml:space="preserve"> 1,53,75,968.54Dr</t>
  </si>
  <si>
    <t>05/02/2025</t>
  </si>
  <si>
    <t>IMPS/P2A/503607628088/APOORVGUPTA/IMPSAXB91783859</t>
  </si>
  <si>
    <t xml:space="preserve"> 1,54,20,968.54Dr</t>
  </si>
  <si>
    <t>02/02/2025</t>
  </si>
  <si>
    <t>31/01/2025</t>
  </si>
  <si>
    <t>78770100030383:Int.Pd:01-11-2024 to 31-01-2025</t>
  </si>
  <si>
    <t xml:space="preserve"> 1,54,75,968.54Dr</t>
  </si>
  <si>
    <t>01/02/2025</t>
  </si>
  <si>
    <t>NEFT-AXOMB03202445232-RUPINDER  SAINI</t>
  </si>
  <si>
    <t xml:space="preserve"> 1,54,76,203.54Dr</t>
  </si>
  <si>
    <t>01/01/2025</t>
  </si>
  <si>
    <t>NEFT-AXOMB00187553447-RUPINDER  SAINI</t>
  </si>
  <si>
    <t xml:space="preserve"> 1,55,21,203.54Dr</t>
  </si>
  <si>
    <t>07/12/2024</t>
  </si>
  <si>
    <t>IMPS/P2A/434211605636/RUPINDERSAINI/familyAXB9177</t>
  </si>
  <si>
    <t xml:space="preserve"> 51,477.19Cr</t>
  </si>
  <si>
    <t>05/12/2024</t>
  </si>
  <si>
    <t>IMPS/P2A/434007097564/APOORVGUPTA/IMPSAXB91783859</t>
  </si>
  <si>
    <t xml:space="preserve"> 15,477.19Cr</t>
  </si>
  <si>
    <t>NEFT-AXOIR34098853242-APOORV GUPTA</t>
  </si>
  <si>
    <t xml:space="preserve"> 39,522.81Dr</t>
  </si>
  <si>
    <t>10/11/2024</t>
  </si>
  <si>
    <t>IMPS/P2A/431502511727/APOORVGUPTA/IMPSAXB91783859</t>
  </si>
  <si>
    <t xml:space="preserve"> 84,522.81Dr</t>
  </si>
  <si>
    <t>05/11/2024</t>
  </si>
  <si>
    <t>NEFT-AXOIR31089377453-APOORV GUPTA</t>
  </si>
  <si>
    <t xml:space="preserve"> 1,39,522.81Dr</t>
  </si>
  <si>
    <t>01/11/2024</t>
  </si>
  <si>
    <t>31/10/2024</t>
  </si>
  <si>
    <t>78770100030383:Int.Pd:01-08-2024 to 31-10-2024</t>
  </si>
  <si>
    <t xml:space="preserve"> 1,84,522.81Dr</t>
  </si>
  <si>
    <t>09/10/2024</t>
  </si>
  <si>
    <t>IMPS/P2A/428312341120/RUPINDERSAINI/Othershomeloa</t>
  </si>
  <si>
    <t xml:space="preserve"> 1,84,693.81Dr</t>
  </si>
  <si>
    <t>06/10/2024</t>
  </si>
  <si>
    <t>IMPS/P2A/428011985726/OORVIGUPTAUGAPO/IMPSAXB9178</t>
  </si>
  <si>
    <t xml:space="preserve"> 1,97,693.81Dr</t>
  </si>
  <si>
    <t>IMPS/P2A/428011982510/APOORVGUPTA/IMPSAXB91783859</t>
  </si>
  <si>
    <t xml:space="preserve"> 2,02,693.81Dr</t>
  </si>
  <si>
    <t>IMPS/P2A/428011983097/RUPINDERSAINI/IMPSAXB917720</t>
  </si>
  <si>
    <t xml:space="preserve"> 2,07,693.81Dr</t>
  </si>
  <si>
    <t>03/10/2024</t>
  </si>
  <si>
    <t>NEFT-AXOMB27715781929-APOORV GUPTA</t>
  </si>
  <si>
    <t xml:space="preserve"> 2,27,693.81Dr</t>
  </si>
  <si>
    <t>05/09/2024</t>
  </si>
  <si>
    <t>NEFT-AXOIR24948997748-APOORV GUPTA</t>
  </si>
  <si>
    <t xml:space="preserve"> 2,79,004.81Dr</t>
  </si>
  <si>
    <t>03/09/2024</t>
  </si>
  <si>
    <t>NEFT-AXOMB24726758060-APOORV GUPTA</t>
  </si>
  <si>
    <t xml:space="preserve"> 3,24,004.81Dr</t>
  </si>
  <si>
    <t>13/08/2024</t>
  </si>
  <si>
    <t xml:space="preserve"> 3,75,315.81Dr</t>
  </si>
  <si>
    <t>12/08/2024</t>
  </si>
  <si>
    <t>NEFT-AXOMB22599467420-APOORV GUPTA</t>
  </si>
  <si>
    <t xml:space="preserve"> 9,50,601.81Dr</t>
  </si>
  <si>
    <t>NEFT-AXOMB22599459321-RUPINDER SAINI</t>
  </si>
  <si>
    <t xml:space="preserve"> 10,50,601.81Dr</t>
  </si>
  <si>
    <t>05/08/2024</t>
  </si>
  <si>
    <t>NEFT-AXOIR21818403366-APOORV GUPTA</t>
  </si>
  <si>
    <t xml:space="preserve"> 11,50,601.81Dr</t>
  </si>
  <si>
    <t>03/08/2024</t>
  </si>
  <si>
    <t>NEFT-AXOMB21698378976-APOORV GUPTA</t>
  </si>
  <si>
    <t xml:space="preserve"> 11,95,601.81Dr</t>
  </si>
  <si>
    <t>02/08/2024</t>
  </si>
  <si>
    <t>31/07/2024</t>
  </si>
  <si>
    <t>78770100030383:Int.Pd:01-05-2024 to 31-07-2024</t>
  </si>
  <si>
    <t xml:space="preserve"> 12,46,912.81Dr</t>
  </si>
  <si>
    <t>12/07/2024</t>
  </si>
  <si>
    <t xml:space="preserve"> 12,47,254.81Dr</t>
  </si>
  <si>
    <t>10/07/2024</t>
  </si>
  <si>
    <t>IMPS/P2A/419222670080/APOORVGUPTA/IMPSAXB91783859</t>
  </si>
  <si>
    <t xml:space="preserve"> 16,16,758.81Dr</t>
  </si>
  <si>
    <t>07/07/2024</t>
  </si>
  <si>
    <t>NEFT-AXOMB18918009031-RUPINDER SAINI</t>
  </si>
  <si>
    <t xml:space="preserve"> 18,90,758.81Dr</t>
  </si>
  <si>
    <t>05/07/2024</t>
  </si>
  <si>
    <t>NEFT-AXOIR18796838645-APOORV GUPTA</t>
  </si>
  <si>
    <t xml:space="preserve"> 20,00,758.81Dr</t>
  </si>
  <si>
    <t>03/07/2024</t>
  </si>
  <si>
    <t>NEFT-AXOMB18575149587-APOORV GUPTA</t>
  </si>
  <si>
    <t xml:space="preserve"> 20,45,758.81Dr</t>
  </si>
  <si>
    <t>05/06/2024</t>
  </si>
  <si>
    <t>NEFT-AXOIR15703344228-APOORV GUPTA</t>
  </si>
  <si>
    <t xml:space="preserve"> 20,97,069.81Dr</t>
  </si>
  <si>
    <t>03/06/2024</t>
  </si>
  <si>
    <t>NEFT-AXOMB15584533043-APOORV GUPTA</t>
  </si>
  <si>
    <t xml:space="preserve"> 21,42,069.81Dr</t>
  </si>
  <si>
    <t>31/05/2024</t>
  </si>
  <si>
    <t xml:space="preserve"> 21,93,380.81Dr</t>
  </si>
  <si>
    <t>30/05/2024</t>
  </si>
  <si>
    <t>IMPS/P2A/415115011080/RUPINDERSAINI/Othershomeloa</t>
  </si>
  <si>
    <t xml:space="preserve"> 29,55,980.81Dr</t>
  </si>
  <si>
    <t>29/05/2024</t>
  </si>
  <si>
    <t>IMPS/P2A/415021300343/APOORVGUPTA/IMPSAXB91783859</t>
  </si>
  <si>
    <t xml:space="preserve"> 30,42,980.81Dr</t>
  </si>
  <si>
    <t>19/05/2024</t>
  </si>
  <si>
    <t>IMPS/P2A/414021075835/APOORVGUPTA/IMPSAXB91783859</t>
  </si>
  <si>
    <t xml:space="preserve"> 30,94,980.81Dr</t>
  </si>
  <si>
    <t>05/05/2024</t>
  </si>
  <si>
    <t>NEFT-AXOIR12613318844-APOORV GUPTA</t>
  </si>
  <si>
    <t xml:space="preserve"> 31,54,980.81Dr</t>
  </si>
  <si>
    <t>03/05/2024</t>
  </si>
  <si>
    <t>NEFT-AXOMB12496219264-APOORV GUPTA</t>
  </si>
  <si>
    <t xml:space="preserve"> 31,99,980.81Dr</t>
  </si>
  <si>
    <t>01/05/2024</t>
  </si>
  <si>
    <t>30/04/2024</t>
  </si>
  <si>
    <t>78770100030383:Int.Pd:01-02-2024 to 30-04-2024</t>
  </si>
  <si>
    <t xml:space="preserve"> 32,51,291.81Dr</t>
  </si>
  <si>
    <t>16/04/2024</t>
  </si>
  <si>
    <t xml:space="preserve"> 32,51,617.81Dr</t>
  </si>
  <si>
    <t>14/04/2024</t>
  </si>
  <si>
    <t>IMPS/P2A/410522205640/APOORVGUPTA/IMPSAXB91783859</t>
  </si>
  <si>
    <t xml:space="preserve"> 35,46,617.81Dr</t>
  </si>
  <si>
    <t>12/04/2024</t>
  </si>
  <si>
    <t>IMPS/P2A/410322720899/APOORVGUPTA/IMPSAXB91783859</t>
  </si>
  <si>
    <t xml:space="preserve"> 35,78,617.81Dr</t>
  </si>
  <si>
    <t>NEFT-AXOMB10306773855-RUPINDER SAINI</t>
  </si>
  <si>
    <t xml:space="preserve"> 37,58,617.81Dr</t>
  </si>
  <si>
    <t>08/04/2024</t>
  </si>
  <si>
    <t>NEFT-AXOMB09972940170-RUPINDER SAINI</t>
  </si>
  <si>
    <t xml:space="preserve"> 38,58,617.81Dr</t>
  </si>
  <si>
    <t>04/04/2024</t>
  </si>
  <si>
    <t>NEFT-AXOMB09534311053-RUPINDER SAINI</t>
  </si>
  <si>
    <t xml:space="preserve"> 40,08,617.81Dr</t>
  </si>
  <si>
    <t>IMPS/P2A/409510385098/RUPINDERSAINI/IMPSAXB917720</t>
  </si>
  <si>
    <t xml:space="preserve"> 40,38,617.81Dr</t>
  </si>
  <si>
    <t>03/04/2024</t>
  </si>
  <si>
    <t>NEFT-AXOMB09425966293-APOORV GUPTA</t>
  </si>
  <si>
    <t xml:space="preserve"> 40,38,628.81Dr</t>
  </si>
  <si>
    <t>13/03/2024</t>
  </si>
  <si>
    <t xml:space="preserve"> 40,89,939.81Dr</t>
  </si>
  <si>
    <t>07/03/2024</t>
  </si>
  <si>
    <t>IMPS/P2A/406706059868/APOORVGUPTA/IMPSAXB91783859</t>
  </si>
  <si>
    <t xml:space="preserve"> 83,26,179.81Dr</t>
  </si>
  <si>
    <t>06/03/2024</t>
  </si>
  <si>
    <t>IMPS/P2A/406615091136/APOORVGUPTA/IMPSAXB91783859</t>
  </si>
  <si>
    <t xml:space="preserve"> 83,30,623.81Dr</t>
  </si>
  <si>
    <t>04/03/2024</t>
  </si>
  <si>
    <t>03/03/2024</t>
  </si>
  <si>
    <t>NEFT-AXOMB40632367275-APOORV GUPTA</t>
  </si>
  <si>
    <t xml:space="preserve"> 83,41,734.81Dr</t>
  </si>
  <si>
    <t>03/02/2024</t>
  </si>
  <si>
    <t>31/01/2024</t>
  </si>
  <si>
    <t>78770100030383:Int.Pd:01-11-2023 to 31-01-2024</t>
  </si>
  <si>
    <t xml:space="preserve"> 83,93,045.81Dr</t>
  </si>
  <si>
    <t>02/02/2024</t>
  </si>
  <si>
    <t>NEFT-AXOMB40320050344-APOORV GUPTA</t>
  </si>
  <si>
    <t xml:space="preserve"> 83,93,133.81Dr</t>
  </si>
  <si>
    <t>03/01/2024</t>
  </si>
  <si>
    <t>NEFT-AXOMB40039887153-APOORV GUPTA</t>
  </si>
  <si>
    <t xml:space="preserve"> 84,45,133.81Dr</t>
  </si>
  <si>
    <t>04/12/2023</t>
  </si>
  <si>
    <t>03/12/2023</t>
  </si>
  <si>
    <t>NEFT-AXOMB33375209386-APOORV GUPTA</t>
  </si>
  <si>
    <t xml:space="preserve"> 1,733.52Cr</t>
  </si>
  <si>
    <t>03/11/2023</t>
  </si>
  <si>
    <t>NEFT-AXOMB33071018811-APOORV GUPTA</t>
  </si>
  <si>
    <t xml:space="preserve"> 49,577.48Dr</t>
  </si>
  <si>
    <t>02/11/2023</t>
  </si>
  <si>
    <t>31/10/2023</t>
  </si>
  <si>
    <t>78770100030383:Int.Pd:01-08-2023 to 31-10-2023</t>
  </si>
  <si>
    <t xml:space="preserve"> 1,00,888.48Dr</t>
  </si>
  <si>
    <t>04/10/2023</t>
  </si>
  <si>
    <t>NEFT-AXOMB32770107107-APOORV GUPTA</t>
  </si>
  <si>
    <t xml:space="preserve"> 1,00,963.48Dr</t>
  </si>
  <si>
    <t>04/09/2023</t>
  </si>
  <si>
    <t>NEFT-AXOMB32479288211-APOORV GUPTA</t>
  </si>
  <si>
    <t xml:space="preserve"> 1,55,963.48Dr</t>
  </si>
  <si>
    <t>04/08/2023</t>
  </si>
  <si>
    <t>NEFT-AXOMB32160620491-RUPINDER SAINI</t>
  </si>
  <si>
    <t xml:space="preserve"> 2,10,963.48Dr</t>
  </si>
  <si>
    <t>NEFT-AXOMB32160585155-APOORV GUPTA</t>
  </si>
  <si>
    <t xml:space="preserve"> 3,10,963.48Dr</t>
  </si>
  <si>
    <t>03/08/2023</t>
  </si>
  <si>
    <t>31/07/2023</t>
  </si>
  <si>
    <t>78770100030383:Int.Pd:01-05-2023 to 31-07-2023</t>
  </si>
  <si>
    <t xml:space="preserve"> 3,65,963.48Dr</t>
  </si>
  <si>
    <t>25/07/2023</t>
  </si>
  <si>
    <t>IMPS/P2A/320621559369/RUPINDERSAINI/IMPSAXB917720</t>
  </si>
  <si>
    <t xml:space="preserve"> 3,66,120.48Dr</t>
  </si>
  <si>
    <t>24/07/2023</t>
  </si>
  <si>
    <t>NEFT-AXOMB32053817496-RUPINDER SAINI</t>
  </si>
  <si>
    <t xml:space="preserve"> 3,66,220.48Dr</t>
  </si>
  <si>
    <t>17/07/2023</t>
  </si>
  <si>
    <t>16/07/2023</t>
  </si>
  <si>
    <t>IMPS/P2A/319723365851/RUPINDERSAINI/IMPSAXB917720</t>
  </si>
  <si>
    <t xml:space="preserve"> 5,66,220.48Dr</t>
  </si>
  <si>
    <t>10/07/2023</t>
  </si>
  <si>
    <t>09/07/2023</t>
  </si>
  <si>
    <t>IMPS/P2A/319016245986/APOORVGUPTA/IMPSAXB91783859</t>
  </si>
  <si>
    <t xml:space="preserve"> 5,66,320.48Dr</t>
  </si>
  <si>
    <t>04/07/2023</t>
  </si>
  <si>
    <t>NEFT-AXMB231853854891-APOORV GUPTA</t>
  </si>
  <si>
    <t xml:space="preserve"> 5,71,310.66Dr</t>
  </si>
  <si>
    <t>19/06/2023</t>
  </si>
  <si>
    <t>18/06/2023</t>
  </si>
  <si>
    <t>IMPS/P2A/316915387096/APOORVGUPTA/IMPSAXB91783859</t>
  </si>
  <si>
    <t xml:space="preserve"> 6,26,310.66Dr</t>
  </si>
  <si>
    <t>09/06/2023</t>
  </si>
  <si>
    <t>REVERSAL-SMS Charges for MAR 23</t>
  </si>
  <si>
    <t xml:space="preserve"> 6,31,310.66Dr</t>
  </si>
  <si>
    <t>05/06/2023</t>
  </si>
  <si>
    <t>04/06/2023</t>
  </si>
  <si>
    <t>IMPS/P2A/315510734971/APOORVGUPTA/NAAXB9178385977</t>
  </si>
  <si>
    <t xml:space="preserve"> 6,31,315.38Dr</t>
  </si>
  <si>
    <t>05/05/2023</t>
  </si>
  <si>
    <t>04/05/2023</t>
  </si>
  <si>
    <t>IMPS/P2A/312423916587/APOORVGUPTA/NAAXB9178385977</t>
  </si>
  <si>
    <t xml:space="preserve"> 6,81,315.38Dr</t>
  </si>
  <si>
    <t>01/05/2023</t>
  </si>
  <si>
    <t>30/04/2023</t>
  </si>
  <si>
    <t>78770100030383:Int.Pd:21-03-2023 to 30-04-2023</t>
  </si>
  <si>
    <t xml:space="preserve"> 7,01,315.38Dr</t>
  </si>
  <si>
    <t>10/04/2023</t>
  </si>
  <si>
    <t>IMPS/P2A/310007513119/APOORVGUPTA/NAAXB9178385977</t>
  </si>
  <si>
    <t xml:space="preserve"> 7,01,416.38Dr</t>
  </si>
  <si>
    <t>04/04/2023</t>
  </si>
  <si>
    <t>NEFT-AXMB230947278110-APOORV GUPTA</t>
  </si>
  <si>
    <t xml:space="preserve"> 7,21,416.38Dr</t>
  </si>
  <si>
    <t>22/03/2023</t>
  </si>
  <si>
    <t xml:space="preserve"> 7,71,416.38Dr</t>
  </si>
  <si>
    <t>21/03/2023</t>
  </si>
  <si>
    <t>IMPS/P2A/308017517471/APOORVGUPTA/-AXB91783859770</t>
  </si>
  <si>
    <t xml:space="preserve"> 80,82,213.38Dr</t>
  </si>
  <si>
    <t>TDS paid by R</t>
  </si>
  <si>
    <t>Blinkit</t>
  </si>
  <si>
    <t>Swiggy</t>
  </si>
  <si>
    <t>Zomato</t>
  </si>
  <si>
    <t>Amazon</t>
  </si>
  <si>
    <t>TOTAL</t>
  </si>
  <si>
    <t>till 2021</t>
  </si>
  <si>
    <t>till 2025 June</t>
  </si>
  <si>
    <t>Firstcry / hopscotch</t>
  </si>
  <si>
    <t>Movies</t>
  </si>
  <si>
    <t>Couples therapy</t>
  </si>
  <si>
    <t>Dining out</t>
  </si>
  <si>
    <t>Car insurance</t>
  </si>
  <si>
    <t>Library / Crossword/ Hamleys / Other</t>
  </si>
  <si>
    <t>Appliances - WM, Fridge, Bed</t>
  </si>
  <si>
    <t>ITC Hotels - Grand Bharat, Agra, Royal Bengal</t>
  </si>
  <si>
    <t>Cab / Fuel</t>
  </si>
  <si>
    <t>Suvidha Groceries Gurgaon</t>
  </si>
  <si>
    <t>Internet, laundry, urbancompany repairs bill</t>
  </si>
  <si>
    <t>Make My Trip - Flights &amp; Hotels (Riverview retreat / Fortune Mysore/etc)</t>
  </si>
  <si>
    <t>Oorvi Medical</t>
  </si>
  <si>
    <t>Photoshoots</t>
  </si>
  <si>
    <t>Rolla/ Lulu/ Childish / Kitbits/ Westside/ Zudio / IKEA / Decathlon tc</t>
  </si>
  <si>
    <t>Firstclub</t>
  </si>
  <si>
    <t>paid already with June fee</t>
  </si>
  <si>
    <t>till Aug</t>
  </si>
  <si>
    <t>EMI's for 2 homes &amp; car have been added till Aug</t>
  </si>
  <si>
    <t xml:space="preserve">A's claim of excess </t>
  </si>
  <si>
    <t>Wrong claims identified</t>
  </si>
  <si>
    <t>already accounted for car payment &amp; Sobha</t>
  </si>
  <si>
    <t>Life insurance premium &amp; Tata AIA SIP for self</t>
  </si>
  <si>
    <t>R-A amount as per old sheet (updated till May)</t>
  </si>
  <si>
    <t>NET DIFFERENCE R-A</t>
  </si>
  <si>
    <t>FINAL DIFFERENCE R-A</t>
  </si>
  <si>
    <t>refer rest of the expenses sheet</t>
  </si>
  <si>
    <t>R-A amount as per new sheet (updated till Aug)</t>
  </si>
  <si>
    <t>NET DIFFERENCE R-A (after adjusting for wrong claims)</t>
  </si>
  <si>
    <t xml:space="preserve">R's expenditure beyond the top 7 heads </t>
  </si>
  <si>
    <t>Splitwise accounting for Household expenses - Rupinder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</si>
</sst>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72"/>
      <name val="Arial"/>
      <family val="2"/>
    </font>
    <font>
      <b/>
      <sz val="10"/>
      <color indexed="9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31"/>
      </top>
      <bottom style="medium">
        <color indexed="31"/>
      </bottom>
      <diagonal/>
    </border>
    <border>
      <left/>
      <right/>
      <top style="medium">
        <color indexed="31"/>
      </top>
      <bottom/>
      <diagonal/>
    </border>
    <border>
      <left style="medium">
        <color indexed="31"/>
      </left>
      <right/>
      <top style="medium">
        <color indexed="3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64" fontId="0" fillId="0" borderId="10" xfId="1" applyNumberFormat="1" applyFont="1" applyBorder="1"/>
    <xf numFmtId="0" fontId="0" fillId="0" borderId="10" xfId="0" applyBorder="1"/>
    <xf numFmtId="0" fontId="0" fillId="0" borderId="11" xfId="0" applyBorder="1"/>
    <xf numFmtId="164" fontId="0" fillId="3" borderId="5" xfId="1" applyNumberFormat="1" applyFont="1" applyFill="1" applyBorder="1"/>
    <xf numFmtId="164" fontId="0" fillId="3" borderId="6" xfId="1" applyNumberFormat="1" applyFont="1" applyFill="1" applyBorder="1"/>
    <xf numFmtId="0" fontId="0" fillId="3" borderId="5" xfId="0" applyFill="1" applyBorder="1"/>
    <xf numFmtId="0" fontId="0" fillId="3" borderId="6" xfId="0" applyFill="1" applyBorder="1"/>
    <xf numFmtId="164" fontId="2" fillId="3" borderId="7" xfId="0" applyNumberFormat="1" applyFont="1" applyFill="1" applyBorder="1"/>
    <xf numFmtId="164" fontId="2" fillId="3" borderId="9" xfId="0" applyNumberFormat="1" applyFont="1" applyFill="1" applyBorder="1"/>
    <xf numFmtId="0" fontId="3" fillId="0" borderId="0" xfId="2" applyNumberFormat="1" applyFont="1" applyFill="1" applyBorder="1" applyAlignment="1"/>
    <xf numFmtId="4" fontId="4" fillId="4" borderId="12" xfId="2" applyNumberFormat="1" applyFont="1" applyFill="1" applyBorder="1" applyAlignment="1">
      <alignment horizontal="right" vertical="center" wrapText="1"/>
    </xf>
    <xf numFmtId="4" fontId="3" fillId="0" borderId="0" xfId="2" applyNumberFormat="1" applyFont="1" applyFill="1" applyBorder="1" applyAlignment="1"/>
    <xf numFmtId="0" fontId="4" fillId="4" borderId="12" xfId="2" applyNumberFormat="1" applyFont="1" applyFill="1" applyBorder="1" applyAlignment="1">
      <alignment horizontal="right" vertical="center" wrapText="1"/>
    </xf>
    <xf numFmtId="4" fontId="4" fillId="4" borderId="13" xfId="2" applyNumberFormat="1" applyFont="1" applyFill="1" applyBorder="1" applyAlignment="1">
      <alignment horizontal="right" vertical="center" wrapText="1"/>
    </xf>
    <xf numFmtId="0" fontId="5" fillId="5" borderId="12" xfId="2" applyFont="1" applyFill="1" applyBorder="1" applyAlignment="1">
      <alignment horizontal="right" vertical="center" wrapText="1"/>
    </xf>
    <xf numFmtId="0" fontId="5" fillId="5" borderId="13" xfId="2" applyFont="1" applyFill="1" applyBorder="1" applyAlignment="1">
      <alignment horizontal="right" vertical="center" wrapText="1"/>
    </xf>
    <xf numFmtId="0" fontId="4" fillId="4" borderId="13" xfId="2" applyFont="1" applyFill="1" applyBorder="1" applyAlignment="1">
      <alignment horizontal="right" vertical="center" wrapText="1"/>
    </xf>
    <xf numFmtId="0" fontId="2" fillId="0" borderId="0" xfId="0" applyFont="1" applyAlignment="1">
      <alignment wrapText="1"/>
    </xf>
    <xf numFmtId="0" fontId="0" fillId="0" borderId="15" xfId="0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164" fontId="0" fillId="3" borderId="15" xfId="1" applyNumberFormat="1" applyFont="1" applyFill="1" applyBorder="1"/>
    <xf numFmtId="164" fontId="0" fillId="3" borderId="18" xfId="1" applyNumberFormat="1" applyFont="1" applyFill="1" applyBorder="1"/>
    <xf numFmtId="0" fontId="2" fillId="0" borderId="19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3" borderId="19" xfId="0" applyFont="1" applyFill="1" applyBorder="1" applyAlignment="1">
      <alignment wrapText="1"/>
    </xf>
    <xf numFmtId="0" fontId="2" fillId="3" borderId="22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4" fontId="0" fillId="0" borderId="27" xfId="1" applyNumberFormat="1" applyFont="1" applyBorder="1" applyAlignment="1">
      <alignment horizontal="center" vertical="center"/>
    </xf>
    <xf numFmtId="164" fontId="0" fillId="0" borderId="28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164" fontId="2" fillId="0" borderId="9" xfId="1" applyNumberFormat="1" applyFont="1" applyBorder="1" applyAlignment="1">
      <alignment horizontal="center" vertical="center"/>
    </xf>
    <xf numFmtId="164" fontId="6" fillId="2" borderId="0" xfId="1" applyNumberFormat="1" applyFont="1" applyFill="1"/>
    <xf numFmtId="0" fontId="2" fillId="0" borderId="0" xfId="0" applyFont="1"/>
    <xf numFmtId="17" fontId="0" fillId="0" borderId="29" xfId="0" applyNumberFormat="1" applyBorder="1" applyAlignment="1">
      <alignment horizontal="center" vertical="center"/>
    </xf>
    <xf numFmtId="164" fontId="0" fillId="0" borderId="30" xfId="1" applyNumberFormat="1" applyFont="1" applyBorder="1" applyAlignment="1">
      <alignment horizontal="center" vertical="center"/>
    </xf>
    <xf numFmtId="164" fontId="7" fillId="2" borderId="0" xfId="0" applyNumberFormat="1" applyFont="1" applyFill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6" fillId="2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4" fillId="4" borderId="14" xfId="2" applyFont="1" applyFill="1" applyBorder="1" applyAlignment="1">
      <alignment horizontal="left" vertical="center" wrapText="1"/>
    </xf>
    <xf numFmtId="0" fontId="4" fillId="4" borderId="13" xfId="2" applyFont="1" applyFill="1" applyBorder="1" applyAlignment="1">
      <alignment horizontal="left" vertical="center" wrapText="1"/>
    </xf>
    <xf numFmtId="0" fontId="5" fillId="5" borderId="14" xfId="2" applyFont="1" applyFill="1" applyBorder="1" applyAlignment="1">
      <alignment horizontal="left" vertical="center" wrapText="1"/>
    </xf>
    <xf numFmtId="0" fontId="5" fillId="5" borderId="13" xfId="2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F2F5CA43-AD7A-4735-A06A-BEB3758C5F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21</xdr:row>
      <xdr:rowOff>0</xdr:rowOff>
    </xdr:from>
    <xdr:to>
      <xdr:col>18</xdr:col>
      <xdr:colOff>146050</xdr:colOff>
      <xdr:row>21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59F1DD-A5E9-76E6-CA51-3024627EB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4500" y="4184650"/>
          <a:ext cx="1027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12700</xdr:colOff>
      <xdr:row>21</xdr:row>
      <xdr:rowOff>184150</xdr:rowOff>
    </xdr:from>
    <xdr:to>
      <xdr:col>12</xdr:col>
      <xdr:colOff>44450</xdr:colOff>
      <xdr:row>21</xdr:row>
      <xdr:rowOff>374650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088FE7-0B16-A2D3-DFC1-1CA8C6CE7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68800"/>
          <a:ext cx="650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25400</xdr:colOff>
      <xdr:row>21</xdr:row>
      <xdr:rowOff>374650</xdr:rowOff>
    </xdr:from>
    <xdr:to>
      <xdr:col>12</xdr:col>
      <xdr:colOff>57150</xdr:colOff>
      <xdr:row>21</xdr:row>
      <xdr:rowOff>565150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3F35A0-8863-FAE1-3D07-5F9CABFB8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9900" y="4559300"/>
          <a:ext cx="650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31750</xdr:colOff>
      <xdr:row>21</xdr:row>
      <xdr:rowOff>558800</xdr:rowOff>
    </xdr:from>
    <xdr:to>
      <xdr:col>12</xdr:col>
      <xdr:colOff>63500</xdr:colOff>
      <xdr:row>22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76276D-97FD-BBBF-66B5-8ED16BF23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4743450"/>
          <a:ext cx="650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971550</xdr:colOff>
      <xdr:row>20</xdr:row>
      <xdr:rowOff>12700</xdr:rowOff>
    </xdr:from>
    <xdr:to>
      <xdr:col>12</xdr:col>
      <xdr:colOff>25400</xdr:colOff>
      <xdr:row>21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6E95BF-0E91-83C1-ED59-49B218383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4013200"/>
          <a:ext cx="650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1DFA-6B2A-4FA7-8545-F0E68F283EDB}">
  <dimension ref="B2:J28"/>
  <sheetViews>
    <sheetView tabSelected="1" workbookViewId="0">
      <selection activeCell="H23" sqref="H23"/>
    </sheetView>
  </sheetViews>
  <sheetFormatPr defaultRowHeight="14.5" x14ac:dyDescent="0.35"/>
  <cols>
    <col min="2" max="2" width="47.08984375" bestFit="1" customWidth="1"/>
    <col min="3" max="3" width="13.1796875" customWidth="1"/>
    <col min="4" max="4" width="14" customWidth="1"/>
    <col min="5" max="5" width="10.6328125" customWidth="1"/>
    <col min="6" max="8" width="14.453125" bestFit="1" customWidth="1"/>
    <col min="9" max="9" width="9.81640625" bestFit="1" customWidth="1"/>
    <col min="10" max="10" width="11.36328125" bestFit="1" customWidth="1"/>
  </cols>
  <sheetData>
    <row r="2" spans="2:10" ht="15" thickBot="1" x14ac:dyDescent="0.4"/>
    <row r="3" spans="2:10" s="23" customFormat="1" ht="29.5" thickBot="1" x14ac:dyDescent="0.4">
      <c r="B3" s="29" t="s">
        <v>14</v>
      </c>
      <c r="C3" s="30" t="s">
        <v>2</v>
      </c>
      <c r="D3" s="30" t="s">
        <v>3</v>
      </c>
      <c r="E3" s="30" t="s">
        <v>5</v>
      </c>
      <c r="F3" s="30" t="s">
        <v>373</v>
      </c>
      <c r="G3" s="30" t="s">
        <v>8</v>
      </c>
      <c r="H3" s="31" t="s">
        <v>9</v>
      </c>
      <c r="I3" s="32" t="s">
        <v>6</v>
      </c>
      <c r="J3" s="33" t="s">
        <v>7</v>
      </c>
    </row>
    <row r="4" spans="2:10" x14ac:dyDescent="0.35">
      <c r="B4" s="24" t="s">
        <v>1</v>
      </c>
      <c r="C4" s="25">
        <v>1450000</v>
      </c>
      <c r="D4" s="25">
        <f>50000+2154908</f>
        <v>2204908</v>
      </c>
      <c r="E4" s="25">
        <v>171737</v>
      </c>
      <c r="F4" s="25">
        <f>4532+1005+28574+31219</f>
        <v>65330</v>
      </c>
      <c r="G4" s="25">
        <f>' EMI till May'!I8+120000+120000+120000</f>
        <v>4204967.18</v>
      </c>
      <c r="H4" s="26">
        <f>' EMI till May'!I9+169000+169000+169000</f>
        <v>3611086</v>
      </c>
      <c r="I4" s="27">
        <f>SUM(C4,E4,G4)</f>
        <v>5826704.1799999997</v>
      </c>
      <c r="J4" s="28">
        <f>SUM(D4,H4)</f>
        <v>5815994</v>
      </c>
    </row>
    <row r="5" spans="2:10" x14ac:dyDescent="0.35">
      <c r="B5" s="3" t="s">
        <v>0</v>
      </c>
      <c r="C5" s="2">
        <f>250000</f>
        <v>250000</v>
      </c>
      <c r="D5" s="2">
        <f>250000+453250</f>
        <v>703250</v>
      </c>
      <c r="E5" s="2">
        <v>102092</v>
      </c>
      <c r="F5" s="2" t="s">
        <v>17</v>
      </c>
      <c r="G5" s="2" t="s">
        <v>17</v>
      </c>
      <c r="H5" s="6" t="s">
        <v>17</v>
      </c>
      <c r="I5" s="9">
        <f t="shared" ref="I5" si="0">SUM(C5,E5,G5)</f>
        <v>352092</v>
      </c>
      <c r="J5" s="10">
        <f t="shared" ref="J5:J7" si="1">SUM(D5,H5)</f>
        <v>703250</v>
      </c>
    </row>
    <row r="6" spans="2:10" x14ac:dyDescent="0.35">
      <c r="B6" s="3" t="s">
        <v>15</v>
      </c>
      <c r="C6" s="2"/>
      <c r="D6" s="2">
        <v>150000</v>
      </c>
      <c r="E6" s="2"/>
      <c r="F6" s="2"/>
      <c r="G6" s="2"/>
      <c r="H6" s="6">
        <f>(60-36)*21176</f>
        <v>508224</v>
      </c>
      <c r="I6" s="9">
        <f>22000*3</f>
        <v>66000</v>
      </c>
      <c r="J6" s="10">
        <f t="shared" si="1"/>
        <v>658224</v>
      </c>
    </row>
    <row r="7" spans="2:10" x14ac:dyDescent="0.35">
      <c r="B7" s="3" t="s">
        <v>16</v>
      </c>
      <c r="C7" s="2">
        <v>450000</v>
      </c>
      <c r="D7" s="2">
        <f>2550000-C7</f>
        <v>2100000</v>
      </c>
      <c r="E7" s="2"/>
      <c r="F7" s="2"/>
      <c r="G7" s="2"/>
      <c r="H7" s="6"/>
      <c r="I7" s="9">
        <f>SUM(C7,E7,G7)</f>
        <v>450000</v>
      </c>
      <c r="J7" s="10">
        <f t="shared" si="1"/>
        <v>2100000</v>
      </c>
    </row>
    <row r="8" spans="2:10" x14ac:dyDescent="0.35">
      <c r="B8" s="3" t="s">
        <v>4</v>
      </c>
      <c r="C8" s="2"/>
      <c r="D8" s="2"/>
      <c r="E8" s="2"/>
      <c r="F8" s="2"/>
      <c r="G8" s="2"/>
      <c r="H8" s="6"/>
      <c r="I8" s="9">
        <f>'Rent&amp; utilities'!E12</f>
        <v>2297000</v>
      </c>
      <c r="J8" s="10">
        <f>'Rent&amp; utilities'!F12</f>
        <v>1354000</v>
      </c>
    </row>
    <row r="9" spans="2:10" x14ac:dyDescent="0.35">
      <c r="B9" s="3" t="s">
        <v>12</v>
      </c>
      <c r="C9" s="1"/>
      <c r="D9" s="1"/>
      <c r="E9" s="1"/>
      <c r="F9" s="1"/>
      <c r="G9" s="1"/>
      <c r="H9" s="7"/>
      <c r="I9" s="9">
        <f>'Maid salaries'!D12</f>
        <v>0</v>
      </c>
      <c r="J9" s="10">
        <f>'Maid salaries'!E12</f>
        <v>1849000</v>
      </c>
    </row>
    <row r="10" spans="2:10" x14ac:dyDescent="0.35">
      <c r="B10" s="3" t="s">
        <v>13</v>
      </c>
      <c r="C10" s="1"/>
      <c r="D10" s="1"/>
      <c r="E10" s="1"/>
      <c r="F10" s="1"/>
      <c r="G10" s="1"/>
      <c r="H10" s="7"/>
      <c r="I10" s="11">
        <v>0</v>
      </c>
      <c r="J10" s="10">
        <f>'Oorvi''s school'!E34</f>
        <v>518000</v>
      </c>
    </row>
    <row r="11" spans="2:10" x14ac:dyDescent="0.35">
      <c r="B11" s="3"/>
      <c r="C11" s="1"/>
      <c r="D11" s="1"/>
      <c r="E11" s="1"/>
      <c r="F11" s="1"/>
      <c r="G11" s="1"/>
      <c r="H11" s="7"/>
      <c r="I11" s="11"/>
      <c r="J11" s="12"/>
    </row>
    <row r="12" spans="2:10" x14ac:dyDescent="0.35">
      <c r="B12" s="3"/>
      <c r="C12" s="1"/>
      <c r="D12" s="1"/>
      <c r="E12" s="1"/>
      <c r="F12" s="1"/>
      <c r="G12" s="1"/>
      <c r="H12" s="7"/>
      <c r="I12" s="11"/>
      <c r="J12" s="12"/>
    </row>
    <row r="13" spans="2:10" ht="15" thickBot="1" x14ac:dyDescent="0.4">
      <c r="B13" s="4"/>
      <c r="C13" s="5"/>
      <c r="D13" s="5"/>
      <c r="E13" s="5"/>
      <c r="F13" s="5"/>
      <c r="G13" s="5"/>
      <c r="H13" s="8"/>
      <c r="I13" s="13">
        <f>SUM(I4:I12)</f>
        <v>8991796.1799999997</v>
      </c>
      <c r="J13" s="14">
        <f>SUM(J4:J12)</f>
        <v>12998468</v>
      </c>
    </row>
    <row r="14" spans="2:10" ht="15.5" x14ac:dyDescent="0.35">
      <c r="J14" s="61">
        <f>J13-I13</f>
        <v>4006671.8200000003</v>
      </c>
    </row>
    <row r="15" spans="2:10" ht="37" customHeight="1" x14ac:dyDescent="0.35">
      <c r="G15" s="69" t="s">
        <v>399</v>
      </c>
      <c r="H15" s="69"/>
    </row>
    <row r="17" spans="2:4" ht="15" thickBot="1" x14ac:dyDescent="0.4"/>
    <row r="18" spans="2:4" x14ac:dyDescent="0.35">
      <c r="B18" s="49" t="s">
        <v>404</v>
      </c>
      <c r="C18" s="65">
        <v>3013962</v>
      </c>
      <c r="D18" s="52"/>
    </row>
    <row r="19" spans="2:4" x14ac:dyDescent="0.35">
      <c r="B19" s="37" t="s">
        <v>408</v>
      </c>
      <c r="C19" s="63">
        <v>4006672</v>
      </c>
      <c r="D19" s="66"/>
    </row>
    <row r="20" spans="2:4" x14ac:dyDescent="0.35">
      <c r="B20" s="37" t="s">
        <v>400</v>
      </c>
      <c r="C20" s="63">
        <v>1196028</v>
      </c>
      <c r="D20" s="53"/>
    </row>
    <row r="21" spans="2:4" x14ac:dyDescent="0.35">
      <c r="B21" s="37" t="s">
        <v>405</v>
      </c>
      <c r="C21" s="64">
        <f>(C19-C18)-C20</f>
        <v>-203318</v>
      </c>
      <c r="D21" s="53"/>
    </row>
    <row r="22" spans="2:4" ht="58" x14ac:dyDescent="0.35">
      <c r="B22" s="70" t="s">
        <v>401</v>
      </c>
      <c r="C22" s="63">
        <f>125000+21000</f>
        <v>146000</v>
      </c>
      <c r="D22" s="67" t="s">
        <v>402</v>
      </c>
    </row>
    <row r="23" spans="2:4" ht="58" x14ac:dyDescent="0.35">
      <c r="B23" s="70"/>
      <c r="C23" s="63">
        <f>27765+21000+32763</f>
        <v>81528</v>
      </c>
      <c r="D23" s="67" t="s">
        <v>403</v>
      </c>
    </row>
    <row r="24" spans="2:4" x14ac:dyDescent="0.35">
      <c r="B24" s="37" t="s">
        <v>409</v>
      </c>
      <c r="C24" s="64">
        <f>C21+(C22+C23)</f>
        <v>24210</v>
      </c>
      <c r="D24" s="53"/>
    </row>
    <row r="25" spans="2:4" x14ac:dyDescent="0.35">
      <c r="B25" s="37"/>
      <c r="C25" s="62"/>
      <c r="D25" s="53"/>
    </row>
    <row r="26" spans="2:4" ht="29" x14ac:dyDescent="0.35">
      <c r="B26" s="37" t="s">
        <v>410</v>
      </c>
      <c r="C26" s="63">
        <f>'Rest of the expenses by R'!L23</f>
        <v>3733724</v>
      </c>
      <c r="D26" s="67" t="s">
        <v>407</v>
      </c>
    </row>
    <row r="27" spans="2:4" x14ac:dyDescent="0.35">
      <c r="B27" s="37"/>
      <c r="C27" s="62"/>
      <c r="D27" s="53"/>
    </row>
    <row r="28" spans="2:4" ht="19" thickBot="1" x14ac:dyDescent="0.4">
      <c r="B28" s="40" t="s">
        <v>406</v>
      </c>
      <c r="C28" s="68">
        <f>C24+C26</f>
        <v>3757934</v>
      </c>
      <c r="D28" s="54"/>
    </row>
  </sheetData>
  <mergeCells count="2">
    <mergeCell ref="G15:H15"/>
    <mergeCell ref="B22:B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0BC0-ACE6-41D6-B9B2-731C5DF557A3}">
  <dimension ref="B1:M23"/>
  <sheetViews>
    <sheetView workbookViewId="0">
      <pane xSplit="2" ySplit="1" topLeftCell="C3" activePane="bottomRight" state="frozen"/>
      <selection pane="topRight" activeCell="E1" sqref="E1"/>
      <selection pane="bottomLeft" activeCell="A4" sqref="A4"/>
      <selection pane="bottomRight" activeCell="G12" sqref="G12"/>
    </sheetView>
  </sheetViews>
  <sheetFormatPr defaultRowHeight="14.5" x14ac:dyDescent="0.35"/>
  <cols>
    <col min="2" max="2" width="63.7265625" bestFit="1" customWidth="1"/>
    <col min="12" max="12" width="12.26953125" bestFit="1" customWidth="1"/>
  </cols>
  <sheetData>
    <row r="1" spans="2:13" x14ac:dyDescent="0.35">
      <c r="B1" s="58"/>
      <c r="C1" s="58">
        <v>2026</v>
      </c>
      <c r="D1" s="58">
        <v>2025</v>
      </c>
      <c r="E1" s="58">
        <v>2024</v>
      </c>
      <c r="F1" s="58">
        <v>2023</v>
      </c>
      <c r="G1" s="58">
        <v>2022</v>
      </c>
      <c r="H1" s="58">
        <v>2021</v>
      </c>
      <c r="I1" s="58">
        <v>2020</v>
      </c>
      <c r="J1" s="58">
        <v>2019</v>
      </c>
      <c r="K1" s="58">
        <v>2018</v>
      </c>
      <c r="L1" s="58" t="s">
        <v>378</v>
      </c>
    </row>
    <row r="2" spans="2:13" x14ac:dyDescent="0.35">
      <c r="B2" s="58" t="s">
        <v>374</v>
      </c>
      <c r="C2">
        <f>55764+8512</f>
        <v>64276</v>
      </c>
      <c r="D2">
        <v>163948</v>
      </c>
      <c r="E2">
        <v>163603</v>
      </c>
      <c r="F2">
        <v>77393</v>
      </c>
      <c r="L2">
        <f>SUM(C2:K2)</f>
        <v>469220</v>
      </c>
    </row>
    <row r="3" spans="2:13" x14ac:dyDescent="0.35">
      <c r="B3" s="58" t="s">
        <v>396</v>
      </c>
      <c r="C3">
        <f>2204+2971+1948+1127+2050+809</f>
        <v>11109</v>
      </c>
      <c r="L3">
        <f t="shared" ref="L3:L22" si="0">SUM(C3:K3)</f>
        <v>11109</v>
      </c>
    </row>
    <row r="4" spans="2:13" x14ac:dyDescent="0.35">
      <c r="B4" s="58" t="s">
        <v>375</v>
      </c>
      <c r="C4">
        <f>9837+1046+1580</f>
        <v>12463</v>
      </c>
      <c r="D4">
        <f>11697+1839+293+223+1930</f>
        <v>15982</v>
      </c>
      <c r="E4">
        <f>6933+2256+1418+3550+631+2391+3805+5855+762+1829+5657</f>
        <v>35087</v>
      </c>
      <c r="F4">
        <f>5199+1624+390+407+1200+3475+1301+1860</f>
        <v>15456</v>
      </c>
      <c r="I4">
        <v>876</v>
      </c>
      <c r="L4">
        <f t="shared" si="0"/>
        <v>79864</v>
      </c>
      <c r="M4" t="s">
        <v>380</v>
      </c>
    </row>
    <row r="5" spans="2:13" x14ac:dyDescent="0.35">
      <c r="B5" s="58" t="s">
        <v>376</v>
      </c>
      <c r="D5">
        <f>3503+3376+9157+4454+1167+75+1260</f>
        <v>22992</v>
      </c>
      <c r="E5">
        <f>200+2242+161+1467</f>
        <v>4070</v>
      </c>
      <c r="G5">
        <f>1826+348+506</f>
        <v>2680</v>
      </c>
      <c r="H5">
        <v>951</v>
      </c>
      <c r="L5">
        <f t="shared" si="0"/>
        <v>30693</v>
      </c>
      <c r="M5" t="s">
        <v>379</v>
      </c>
    </row>
    <row r="6" spans="2:13" x14ac:dyDescent="0.35">
      <c r="B6" s="58" t="s">
        <v>384</v>
      </c>
      <c r="C6">
        <f>2653+450</f>
        <v>3103</v>
      </c>
      <c r="D6">
        <f>4295+200+230</f>
        <v>4725</v>
      </c>
      <c r="E6">
        <f>3086+5121</f>
        <v>8207</v>
      </c>
      <c r="F6">
        <f>887+2271+379</f>
        <v>3537</v>
      </c>
      <c r="L6">
        <f t="shared" si="0"/>
        <v>19572</v>
      </c>
    </row>
    <row r="7" spans="2:13" x14ac:dyDescent="0.35">
      <c r="B7" s="58" t="s">
        <v>395</v>
      </c>
      <c r="C7">
        <f>5289+4881+140+3216+810+459+649+2950+6287+10892+1200</f>
        <v>36773</v>
      </c>
      <c r="D7">
        <f>592+237+6378+303+1196+357+3071+144+294+498+9585+5000+1999+4089+9961+4295</f>
        <v>47999</v>
      </c>
      <c r="E7">
        <f>1984+804+5121</f>
        <v>7909</v>
      </c>
      <c r="F7">
        <f>83+1735+614+83+614+1440+11175</f>
        <v>15744</v>
      </c>
      <c r="G7">
        <f>4145</f>
        <v>4145</v>
      </c>
      <c r="L7">
        <f t="shared" si="0"/>
        <v>112570</v>
      </c>
    </row>
    <row r="8" spans="2:13" x14ac:dyDescent="0.35">
      <c r="B8" s="58" t="s">
        <v>385</v>
      </c>
      <c r="C8">
        <v>29080</v>
      </c>
      <c r="L8">
        <f t="shared" si="0"/>
        <v>29080</v>
      </c>
    </row>
    <row r="9" spans="2:13" x14ac:dyDescent="0.35">
      <c r="B9" s="58" t="s">
        <v>390</v>
      </c>
      <c r="E9">
        <f>3157</f>
        <v>3157</v>
      </c>
      <c r="F9">
        <f>16944+12360+8708+10916+6679+4753+2905+7803+40006+4906+3553+4967</f>
        <v>124500</v>
      </c>
      <c r="G9">
        <f>3856+6063+6448+8146+4906+8552+10945+891</f>
        <v>49807</v>
      </c>
      <c r="L9">
        <f t="shared" si="0"/>
        <v>177464</v>
      </c>
    </row>
    <row r="10" spans="2:13" x14ac:dyDescent="0.35">
      <c r="B10" s="58" t="s">
        <v>377</v>
      </c>
      <c r="C10">
        <v>6350</v>
      </c>
      <c r="D10">
        <v>56731</v>
      </c>
      <c r="E10">
        <v>30754</v>
      </c>
      <c r="F10">
        <v>72327</v>
      </c>
      <c r="G10">
        <v>149957</v>
      </c>
      <c r="H10">
        <v>91887</v>
      </c>
      <c r="I10">
        <v>144652</v>
      </c>
      <c r="J10">
        <v>2249</v>
      </c>
      <c r="K10">
        <v>3327</v>
      </c>
      <c r="L10">
        <f t="shared" si="0"/>
        <v>558234</v>
      </c>
    </row>
    <row r="11" spans="2:13" x14ac:dyDescent="0.35">
      <c r="B11" s="58" t="s">
        <v>394</v>
      </c>
      <c r="G11">
        <v>12000</v>
      </c>
      <c r="H11">
        <v>10000</v>
      </c>
      <c r="L11">
        <f t="shared" si="0"/>
        <v>22000</v>
      </c>
    </row>
    <row r="12" spans="2:13" x14ac:dyDescent="0.35">
      <c r="B12" s="58" t="s">
        <v>386</v>
      </c>
      <c r="C12">
        <v>4000</v>
      </c>
      <c r="D12">
        <f>4000+733</f>
        <v>4733</v>
      </c>
      <c r="E12">
        <f>1299</f>
        <v>1299</v>
      </c>
      <c r="F12">
        <f>3244+1459</f>
        <v>4703</v>
      </c>
      <c r="G12">
        <f>2348</f>
        <v>2348</v>
      </c>
      <c r="L12">
        <f t="shared" si="0"/>
        <v>17083</v>
      </c>
    </row>
    <row r="13" spans="2:13" x14ac:dyDescent="0.35">
      <c r="B13" s="58" t="s">
        <v>381</v>
      </c>
      <c r="D13">
        <f>1079+1974+5752</f>
        <v>8805</v>
      </c>
      <c r="F13">
        <f>970+1766+2221</f>
        <v>4957</v>
      </c>
      <c r="G13">
        <f>2029+955+1189+817+1418+506</f>
        <v>6914</v>
      </c>
      <c r="L13">
        <f t="shared" si="0"/>
        <v>20676</v>
      </c>
    </row>
    <row r="14" spans="2:13" x14ac:dyDescent="0.35">
      <c r="B14" s="58" t="s">
        <v>382</v>
      </c>
      <c r="C14">
        <f>735</f>
        <v>735</v>
      </c>
      <c r="D14">
        <f>595+360+770+640</f>
        <v>2365</v>
      </c>
      <c r="E14">
        <f>150+1360+560+510+350+320</f>
        <v>3250</v>
      </c>
      <c r="F14">
        <f>520+1000</f>
        <v>1520</v>
      </c>
      <c r="G14">
        <f>520+1450</f>
        <v>1970</v>
      </c>
      <c r="L14">
        <f t="shared" si="0"/>
        <v>9840</v>
      </c>
    </row>
    <row r="15" spans="2:13" x14ac:dyDescent="0.35">
      <c r="B15" s="58" t="s">
        <v>389</v>
      </c>
      <c r="C15">
        <f>12000*8</f>
        <v>96000</v>
      </c>
      <c r="D15">
        <f>12000*12</f>
        <v>144000</v>
      </c>
      <c r="E15">
        <f>12000*1+5000*11+10723</f>
        <v>77723</v>
      </c>
      <c r="F15">
        <f>3772+17695+150+1176+626+1621+2524+5692+1157+1378</f>
        <v>35791</v>
      </c>
      <c r="G15">
        <f>1344+236+317+289+500+2041</f>
        <v>4727</v>
      </c>
      <c r="I15">
        <f>8595+885</f>
        <v>9480</v>
      </c>
      <c r="L15">
        <f t="shared" si="0"/>
        <v>367721</v>
      </c>
    </row>
    <row r="16" spans="2:13" x14ac:dyDescent="0.35">
      <c r="B16" s="58" t="s">
        <v>391</v>
      </c>
      <c r="C16">
        <f>1400*6+216+724+700+416+534+208+368+131+339</f>
        <v>12036</v>
      </c>
      <c r="D16">
        <f>1350*12+648+596+580+544+568+424+382+352+264+384+368+464</f>
        <v>21774</v>
      </c>
      <c r="E16">
        <f>1350*1+144</f>
        <v>1494</v>
      </c>
      <c r="L16">
        <f t="shared" si="0"/>
        <v>35304</v>
      </c>
    </row>
    <row r="17" spans="2:12" x14ac:dyDescent="0.35">
      <c r="B17" s="58" t="s">
        <v>383</v>
      </c>
      <c r="C17">
        <v>40000</v>
      </c>
      <c r="D17">
        <v>25000</v>
      </c>
      <c r="L17">
        <f t="shared" si="0"/>
        <v>65000</v>
      </c>
    </row>
    <row r="18" spans="2:12" x14ac:dyDescent="0.35">
      <c r="B18" s="58" t="s">
        <v>393</v>
      </c>
      <c r="C18">
        <f>1224+3286</f>
        <v>4510</v>
      </c>
      <c r="D18">
        <f>770+7400+2000+950+2554+850+1926+1251</f>
        <v>17701</v>
      </c>
      <c r="E18">
        <f>2712+2457+600+870+1017</f>
        <v>7656</v>
      </c>
      <c r="F18">
        <f>500+2967</f>
        <v>3467</v>
      </c>
      <c r="G18">
        <f>331</f>
        <v>331</v>
      </c>
      <c r="L18">
        <f t="shared" si="0"/>
        <v>33665</v>
      </c>
    </row>
    <row r="19" spans="2:12" x14ac:dyDescent="0.35">
      <c r="B19" s="58" t="s">
        <v>387</v>
      </c>
      <c r="H19">
        <v>26000</v>
      </c>
      <c r="J19">
        <f>25479</f>
        <v>25479</v>
      </c>
      <c r="L19">
        <f t="shared" si="0"/>
        <v>51479</v>
      </c>
    </row>
    <row r="20" spans="2:12" x14ac:dyDescent="0.35">
      <c r="B20" s="58" t="s">
        <v>411</v>
      </c>
      <c r="I20">
        <v>7417</v>
      </c>
      <c r="J20">
        <v>474784</v>
      </c>
      <c r="K20">
        <v>474134</v>
      </c>
      <c r="L20">
        <f t="shared" si="0"/>
        <v>956335</v>
      </c>
    </row>
    <row r="21" spans="2:12" x14ac:dyDescent="0.35">
      <c r="B21" s="58" t="s">
        <v>388</v>
      </c>
      <c r="F21">
        <f>40000</f>
        <v>40000</v>
      </c>
      <c r="G21">
        <f>20000</f>
        <v>20000</v>
      </c>
      <c r="H21">
        <f>20000</f>
        <v>20000</v>
      </c>
      <c r="L21">
        <f t="shared" si="0"/>
        <v>80000</v>
      </c>
    </row>
    <row r="22" spans="2:12" x14ac:dyDescent="0.35">
      <c r="B22" s="58" t="s">
        <v>392</v>
      </c>
      <c r="C22">
        <f>23166+29985+5670+6353</f>
        <v>65174</v>
      </c>
      <c r="D22">
        <f>29688+13065+4229+5896+16669+23525+5543+11048</f>
        <v>109663</v>
      </c>
      <c r="E22">
        <f>23587+20737+15873+15787</f>
        <v>75984</v>
      </c>
      <c r="F22">
        <f>41323+12353</f>
        <v>53676</v>
      </c>
      <c r="G22">
        <f>157050</f>
        <v>157050</v>
      </c>
      <c r="H22">
        <f>23771+14545+12385</f>
        <v>50701</v>
      </c>
      <c r="I22">
        <f>20564</f>
        <v>20564</v>
      </c>
      <c r="J22">
        <f>14170+19602</f>
        <v>33772</v>
      </c>
      <c r="K22">
        <f>20231</f>
        <v>20231</v>
      </c>
      <c r="L22">
        <f t="shared" si="0"/>
        <v>586815</v>
      </c>
    </row>
    <row r="23" spans="2:12" ht="18.5" x14ac:dyDescent="0.45">
      <c r="C23">
        <f t="shared" ref="C23:L23" si="1">SUM(C2:C22)</f>
        <v>385609</v>
      </c>
      <c r="D23">
        <f t="shared" si="1"/>
        <v>646418</v>
      </c>
      <c r="E23">
        <f t="shared" si="1"/>
        <v>420193</v>
      </c>
      <c r="F23">
        <f t="shared" si="1"/>
        <v>453071</v>
      </c>
      <c r="G23">
        <f t="shared" si="1"/>
        <v>411929</v>
      </c>
      <c r="H23">
        <f t="shared" si="1"/>
        <v>199539</v>
      </c>
      <c r="I23">
        <f t="shared" si="1"/>
        <v>182989</v>
      </c>
      <c r="J23">
        <f t="shared" si="1"/>
        <v>536284</v>
      </c>
      <c r="K23">
        <f t="shared" si="1"/>
        <v>497692</v>
      </c>
      <c r="L23" s="57">
        <f t="shared" si="1"/>
        <v>3733724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F7B8-79ED-40A3-8D35-097ABECE0EEE}">
  <dimension ref="C4:L66"/>
  <sheetViews>
    <sheetView workbookViewId="0">
      <selection activeCell="I8" sqref="I8"/>
    </sheetView>
  </sheetViews>
  <sheetFormatPr defaultRowHeight="12.5" x14ac:dyDescent="0.25"/>
  <cols>
    <col min="1" max="2" width="8.7265625" style="15"/>
    <col min="3" max="3" width="10.453125" style="15" bestFit="1" customWidth="1"/>
    <col min="4" max="7" width="8.7265625" style="15"/>
    <col min="8" max="8" width="9.90625" style="15" bestFit="1" customWidth="1"/>
    <col min="9" max="9" width="21.81640625" style="15" customWidth="1"/>
    <col min="10" max="11" width="8.7265625" style="15"/>
    <col min="12" max="12" width="10.453125" style="15" bestFit="1" customWidth="1"/>
    <col min="13" max="258" width="8.7265625" style="15"/>
    <col min="259" max="259" width="10.453125" style="15" bestFit="1" customWidth="1"/>
    <col min="260" max="264" width="8.7265625" style="15"/>
    <col min="265" max="265" width="21.81640625" style="15" customWidth="1"/>
    <col min="266" max="267" width="8.7265625" style="15"/>
    <col min="268" max="268" width="10.453125" style="15" bestFit="1" customWidth="1"/>
    <col min="269" max="514" width="8.7265625" style="15"/>
    <col min="515" max="515" width="10.453125" style="15" bestFit="1" customWidth="1"/>
    <col min="516" max="520" width="8.7265625" style="15"/>
    <col min="521" max="521" width="21.81640625" style="15" customWidth="1"/>
    <col min="522" max="523" width="8.7265625" style="15"/>
    <col min="524" max="524" width="10.453125" style="15" bestFit="1" customWidth="1"/>
    <col min="525" max="770" width="8.7265625" style="15"/>
    <col min="771" max="771" width="10.453125" style="15" bestFit="1" customWidth="1"/>
    <col min="772" max="776" width="8.7265625" style="15"/>
    <col min="777" max="777" width="21.81640625" style="15" customWidth="1"/>
    <col min="778" max="779" width="8.7265625" style="15"/>
    <col min="780" max="780" width="10.453125" style="15" bestFit="1" customWidth="1"/>
    <col min="781" max="1026" width="8.7265625" style="15"/>
    <col min="1027" max="1027" width="10.453125" style="15" bestFit="1" customWidth="1"/>
    <col min="1028" max="1032" width="8.7265625" style="15"/>
    <col min="1033" max="1033" width="21.81640625" style="15" customWidth="1"/>
    <col min="1034" max="1035" width="8.7265625" style="15"/>
    <col min="1036" max="1036" width="10.453125" style="15" bestFit="1" customWidth="1"/>
    <col min="1037" max="1282" width="8.7265625" style="15"/>
    <col min="1283" max="1283" width="10.453125" style="15" bestFit="1" customWidth="1"/>
    <col min="1284" max="1288" width="8.7265625" style="15"/>
    <col min="1289" max="1289" width="21.81640625" style="15" customWidth="1"/>
    <col min="1290" max="1291" width="8.7265625" style="15"/>
    <col min="1292" max="1292" width="10.453125" style="15" bestFit="1" customWidth="1"/>
    <col min="1293" max="1538" width="8.7265625" style="15"/>
    <col min="1539" max="1539" width="10.453125" style="15" bestFit="1" customWidth="1"/>
    <col min="1540" max="1544" width="8.7265625" style="15"/>
    <col min="1545" max="1545" width="21.81640625" style="15" customWidth="1"/>
    <col min="1546" max="1547" width="8.7265625" style="15"/>
    <col min="1548" max="1548" width="10.453125" style="15" bestFit="1" customWidth="1"/>
    <col min="1549" max="1794" width="8.7265625" style="15"/>
    <col min="1795" max="1795" width="10.453125" style="15" bestFit="1" customWidth="1"/>
    <col min="1796" max="1800" width="8.7265625" style="15"/>
    <col min="1801" max="1801" width="21.81640625" style="15" customWidth="1"/>
    <col min="1802" max="1803" width="8.7265625" style="15"/>
    <col min="1804" max="1804" width="10.453125" style="15" bestFit="1" customWidth="1"/>
    <col min="1805" max="2050" width="8.7265625" style="15"/>
    <col min="2051" max="2051" width="10.453125" style="15" bestFit="1" customWidth="1"/>
    <col min="2052" max="2056" width="8.7265625" style="15"/>
    <col min="2057" max="2057" width="21.81640625" style="15" customWidth="1"/>
    <col min="2058" max="2059" width="8.7265625" style="15"/>
    <col min="2060" max="2060" width="10.453125" style="15" bestFit="1" customWidth="1"/>
    <col min="2061" max="2306" width="8.7265625" style="15"/>
    <col min="2307" max="2307" width="10.453125" style="15" bestFit="1" customWidth="1"/>
    <col min="2308" max="2312" width="8.7265625" style="15"/>
    <col min="2313" max="2313" width="21.81640625" style="15" customWidth="1"/>
    <col min="2314" max="2315" width="8.7265625" style="15"/>
    <col min="2316" max="2316" width="10.453125" style="15" bestFit="1" customWidth="1"/>
    <col min="2317" max="2562" width="8.7265625" style="15"/>
    <col min="2563" max="2563" width="10.453125" style="15" bestFit="1" customWidth="1"/>
    <col min="2564" max="2568" width="8.7265625" style="15"/>
    <col min="2569" max="2569" width="21.81640625" style="15" customWidth="1"/>
    <col min="2570" max="2571" width="8.7265625" style="15"/>
    <col min="2572" max="2572" width="10.453125" style="15" bestFit="1" customWidth="1"/>
    <col min="2573" max="2818" width="8.7265625" style="15"/>
    <col min="2819" max="2819" width="10.453125" style="15" bestFit="1" customWidth="1"/>
    <col min="2820" max="2824" width="8.7265625" style="15"/>
    <col min="2825" max="2825" width="21.81640625" style="15" customWidth="1"/>
    <col min="2826" max="2827" width="8.7265625" style="15"/>
    <col min="2828" max="2828" width="10.453125" style="15" bestFit="1" customWidth="1"/>
    <col min="2829" max="3074" width="8.7265625" style="15"/>
    <col min="3075" max="3075" width="10.453125" style="15" bestFit="1" customWidth="1"/>
    <col min="3076" max="3080" width="8.7265625" style="15"/>
    <col min="3081" max="3081" width="21.81640625" style="15" customWidth="1"/>
    <col min="3082" max="3083" width="8.7265625" style="15"/>
    <col min="3084" max="3084" width="10.453125" style="15" bestFit="1" customWidth="1"/>
    <col min="3085" max="3330" width="8.7265625" style="15"/>
    <col min="3331" max="3331" width="10.453125" style="15" bestFit="1" customWidth="1"/>
    <col min="3332" max="3336" width="8.7265625" style="15"/>
    <col min="3337" max="3337" width="21.81640625" style="15" customWidth="1"/>
    <col min="3338" max="3339" width="8.7265625" style="15"/>
    <col min="3340" max="3340" width="10.453125" style="15" bestFit="1" customWidth="1"/>
    <col min="3341" max="3586" width="8.7265625" style="15"/>
    <col min="3587" max="3587" width="10.453125" style="15" bestFit="1" customWidth="1"/>
    <col min="3588" max="3592" width="8.7265625" style="15"/>
    <col min="3593" max="3593" width="21.81640625" style="15" customWidth="1"/>
    <col min="3594" max="3595" width="8.7265625" style="15"/>
    <col min="3596" max="3596" width="10.453125" style="15" bestFit="1" customWidth="1"/>
    <col min="3597" max="3842" width="8.7265625" style="15"/>
    <col min="3843" max="3843" width="10.453125" style="15" bestFit="1" customWidth="1"/>
    <col min="3844" max="3848" width="8.7265625" style="15"/>
    <col min="3849" max="3849" width="21.81640625" style="15" customWidth="1"/>
    <col min="3850" max="3851" width="8.7265625" style="15"/>
    <col min="3852" max="3852" width="10.453125" style="15" bestFit="1" customWidth="1"/>
    <col min="3853" max="4098" width="8.7265625" style="15"/>
    <col min="4099" max="4099" width="10.453125" style="15" bestFit="1" customWidth="1"/>
    <col min="4100" max="4104" width="8.7265625" style="15"/>
    <col min="4105" max="4105" width="21.81640625" style="15" customWidth="1"/>
    <col min="4106" max="4107" width="8.7265625" style="15"/>
    <col min="4108" max="4108" width="10.453125" style="15" bestFit="1" customWidth="1"/>
    <col min="4109" max="4354" width="8.7265625" style="15"/>
    <col min="4355" max="4355" width="10.453125" style="15" bestFit="1" customWidth="1"/>
    <col min="4356" max="4360" width="8.7265625" style="15"/>
    <col min="4361" max="4361" width="21.81640625" style="15" customWidth="1"/>
    <col min="4362" max="4363" width="8.7265625" style="15"/>
    <col min="4364" max="4364" width="10.453125" style="15" bestFit="1" customWidth="1"/>
    <col min="4365" max="4610" width="8.7265625" style="15"/>
    <col min="4611" max="4611" width="10.453125" style="15" bestFit="1" customWidth="1"/>
    <col min="4612" max="4616" width="8.7265625" style="15"/>
    <col min="4617" max="4617" width="21.81640625" style="15" customWidth="1"/>
    <col min="4618" max="4619" width="8.7265625" style="15"/>
    <col min="4620" max="4620" width="10.453125" style="15" bestFit="1" customWidth="1"/>
    <col min="4621" max="4866" width="8.7265625" style="15"/>
    <col min="4867" max="4867" width="10.453125" style="15" bestFit="1" customWidth="1"/>
    <col min="4868" max="4872" width="8.7265625" style="15"/>
    <col min="4873" max="4873" width="21.81640625" style="15" customWidth="1"/>
    <col min="4874" max="4875" width="8.7265625" style="15"/>
    <col min="4876" max="4876" width="10.453125" style="15" bestFit="1" customWidth="1"/>
    <col min="4877" max="5122" width="8.7265625" style="15"/>
    <col min="5123" max="5123" width="10.453125" style="15" bestFit="1" customWidth="1"/>
    <col min="5124" max="5128" width="8.7265625" style="15"/>
    <col min="5129" max="5129" width="21.81640625" style="15" customWidth="1"/>
    <col min="5130" max="5131" width="8.7265625" style="15"/>
    <col min="5132" max="5132" width="10.453125" style="15" bestFit="1" customWidth="1"/>
    <col min="5133" max="5378" width="8.7265625" style="15"/>
    <col min="5379" max="5379" width="10.453125" style="15" bestFit="1" customWidth="1"/>
    <col min="5380" max="5384" width="8.7265625" style="15"/>
    <col min="5385" max="5385" width="21.81640625" style="15" customWidth="1"/>
    <col min="5386" max="5387" width="8.7265625" style="15"/>
    <col min="5388" max="5388" width="10.453125" style="15" bestFit="1" customWidth="1"/>
    <col min="5389" max="5634" width="8.7265625" style="15"/>
    <col min="5635" max="5635" width="10.453125" style="15" bestFit="1" customWidth="1"/>
    <col min="5636" max="5640" width="8.7265625" style="15"/>
    <col min="5641" max="5641" width="21.81640625" style="15" customWidth="1"/>
    <col min="5642" max="5643" width="8.7265625" style="15"/>
    <col min="5644" max="5644" width="10.453125" style="15" bestFit="1" customWidth="1"/>
    <col min="5645" max="5890" width="8.7265625" style="15"/>
    <col min="5891" max="5891" width="10.453125" style="15" bestFit="1" customWidth="1"/>
    <col min="5892" max="5896" width="8.7265625" style="15"/>
    <col min="5897" max="5897" width="21.81640625" style="15" customWidth="1"/>
    <col min="5898" max="5899" width="8.7265625" style="15"/>
    <col min="5900" max="5900" width="10.453125" style="15" bestFit="1" customWidth="1"/>
    <col min="5901" max="6146" width="8.7265625" style="15"/>
    <col min="6147" max="6147" width="10.453125" style="15" bestFit="1" customWidth="1"/>
    <col min="6148" max="6152" width="8.7265625" style="15"/>
    <col min="6153" max="6153" width="21.81640625" style="15" customWidth="1"/>
    <col min="6154" max="6155" width="8.7265625" style="15"/>
    <col min="6156" max="6156" width="10.453125" style="15" bestFit="1" customWidth="1"/>
    <col min="6157" max="6402" width="8.7265625" style="15"/>
    <col min="6403" max="6403" width="10.453125" style="15" bestFit="1" customWidth="1"/>
    <col min="6404" max="6408" width="8.7265625" style="15"/>
    <col min="6409" max="6409" width="21.81640625" style="15" customWidth="1"/>
    <col min="6410" max="6411" width="8.7265625" style="15"/>
    <col min="6412" max="6412" width="10.453125" style="15" bestFit="1" customWidth="1"/>
    <col min="6413" max="6658" width="8.7265625" style="15"/>
    <col min="6659" max="6659" width="10.453125" style="15" bestFit="1" customWidth="1"/>
    <col min="6660" max="6664" width="8.7265625" style="15"/>
    <col min="6665" max="6665" width="21.81640625" style="15" customWidth="1"/>
    <col min="6666" max="6667" width="8.7265625" style="15"/>
    <col min="6668" max="6668" width="10.453125" style="15" bestFit="1" customWidth="1"/>
    <col min="6669" max="6914" width="8.7265625" style="15"/>
    <col min="6915" max="6915" width="10.453125" style="15" bestFit="1" customWidth="1"/>
    <col min="6916" max="6920" width="8.7265625" style="15"/>
    <col min="6921" max="6921" width="21.81640625" style="15" customWidth="1"/>
    <col min="6922" max="6923" width="8.7265625" style="15"/>
    <col min="6924" max="6924" width="10.453125" style="15" bestFit="1" customWidth="1"/>
    <col min="6925" max="7170" width="8.7265625" style="15"/>
    <col min="7171" max="7171" width="10.453125" style="15" bestFit="1" customWidth="1"/>
    <col min="7172" max="7176" width="8.7265625" style="15"/>
    <col min="7177" max="7177" width="21.81640625" style="15" customWidth="1"/>
    <col min="7178" max="7179" width="8.7265625" style="15"/>
    <col min="7180" max="7180" width="10.453125" style="15" bestFit="1" customWidth="1"/>
    <col min="7181" max="7426" width="8.7265625" style="15"/>
    <col min="7427" max="7427" width="10.453125" style="15" bestFit="1" customWidth="1"/>
    <col min="7428" max="7432" width="8.7265625" style="15"/>
    <col min="7433" max="7433" width="21.81640625" style="15" customWidth="1"/>
    <col min="7434" max="7435" width="8.7265625" style="15"/>
    <col min="7436" max="7436" width="10.453125" style="15" bestFit="1" customWidth="1"/>
    <col min="7437" max="7682" width="8.7265625" style="15"/>
    <col min="7683" max="7683" width="10.453125" style="15" bestFit="1" customWidth="1"/>
    <col min="7684" max="7688" width="8.7265625" style="15"/>
    <col min="7689" max="7689" width="21.81640625" style="15" customWidth="1"/>
    <col min="7690" max="7691" width="8.7265625" style="15"/>
    <col min="7692" max="7692" width="10.453125" style="15" bestFit="1" customWidth="1"/>
    <col min="7693" max="7938" width="8.7265625" style="15"/>
    <col min="7939" max="7939" width="10.453125" style="15" bestFit="1" customWidth="1"/>
    <col min="7940" max="7944" width="8.7265625" style="15"/>
    <col min="7945" max="7945" width="21.81640625" style="15" customWidth="1"/>
    <col min="7946" max="7947" width="8.7265625" style="15"/>
    <col min="7948" max="7948" width="10.453125" style="15" bestFit="1" customWidth="1"/>
    <col min="7949" max="8194" width="8.7265625" style="15"/>
    <col min="8195" max="8195" width="10.453125" style="15" bestFit="1" customWidth="1"/>
    <col min="8196" max="8200" width="8.7265625" style="15"/>
    <col min="8201" max="8201" width="21.81640625" style="15" customWidth="1"/>
    <col min="8202" max="8203" width="8.7265625" style="15"/>
    <col min="8204" max="8204" width="10.453125" style="15" bestFit="1" customWidth="1"/>
    <col min="8205" max="8450" width="8.7265625" style="15"/>
    <col min="8451" max="8451" width="10.453125" style="15" bestFit="1" customWidth="1"/>
    <col min="8452" max="8456" width="8.7265625" style="15"/>
    <col min="8457" max="8457" width="21.81640625" style="15" customWidth="1"/>
    <col min="8458" max="8459" width="8.7265625" style="15"/>
    <col min="8460" max="8460" width="10.453125" style="15" bestFit="1" customWidth="1"/>
    <col min="8461" max="8706" width="8.7265625" style="15"/>
    <col min="8707" max="8707" width="10.453125" style="15" bestFit="1" customWidth="1"/>
    <col min="8708" max="8712" width="8.7265625" style="15"/>
    <col min="8713" max="8713" width="21.81640625" style="15" customWidth="1"/>
    <col min="8714" max="8715" width="8.7265625" style="15"/>
    <col min="8716" max="8716" width="10.453125" style="15" bestFit="1" customWidth="1"/>
    <col min="8717" max="8962" width="8.7265625" style="15"/>
    <col min="8963" max="8963" width="10.453125" style="15" bestFit="1" customWidth="1"/>
    <col min="8964" max="8968" width="8.7265625" style="15"/>
    <col min="8969" max="8969" width="21.81640625" style="15" customWidth="1"/>
    <col min="8970" max="8971" width="8.7265625" style="15"/>
    <col min="8972" max="8972" width="10.453125" style="15" bestFit="1" customWidth="1"/>
    <col min="8973" max="9218" width="8.7265625" style="15"/>
    <col min="9219" max="9219" width="10.453125" style="15" bestFit="1" customWidth="1"/>
    <col min="9220" max="9224" width="8.7265625" style="15"/>
    <col min="9225" max="9225" width="21.81640625" style="15" customWidth="1"/>
    <col min="9226" max="9227" width="8.7265625" style="15"/>
    <col min="9228" max="9228" width="10.453125" style="15" bestFit="1" customWidth="1"/>
    <col min="9229" max="9474" width="8.7265625" style="15"/>
    <col min="9475" max="9475" width="10.453125" style="15" bestFit="1" customWidth="1"/>
    <col min="9476" max="9480" width="8.7265625" style="15"/>
    <col min="9481" max="9481" width="21.81640625" style="15" customWidth="1"/>
    <col min="9482" max="9483" width="8.7265625" style="15"/>
    <col min="9484" max="9484" width="10.453125" style="15" bestFit="1" customWidth="1"/>
    <col min="9485" max="9730" width="8.7265625" style="15"/>
    <col min="9731" max="9731" width="10.453125" style="15" bestFit="1" customWidth="1"/>
    <col min="9732" max="9736" width="8.7265625" style="15"/>
    <col min="9737" max="9737" width="21.81640625" style="15" customWidth="1"/>
    <col min="9738" max="9739" width="8.7265625" style="15"/>
    <col min="9740" max="9740" width="10.453125" style="15" bestFit="1" customWidth="1"/>
    <col min="9741" max="9986" width="8.7265625" style="15"/>
    <col min="9987" max="9987" width="10.453125" style="15" bestFit="1" customWidth="1"/>
    <col min="9988" max="9992" width="8.7265625" style="15"/>
    <col min="9993" max="9993" width="21.81640625" style="15" customWidth="1"/>
    <col min="9994" max="9995" width="8.7265625" style="15"/>
    <col min="9996" max="9996" width="10.453125" style="15" bestFit="1" customWidth="1"/>
    <col min="9997" max="10242" width="8.7265625" style="15"/>
    <col min="10243" max="10243" width="10.453125" style="15" bestFit="1" customWidth="1"/>
    <col min="10244" max="10248" width="8.7265625" style="15"/>
    <col min="10249" max="10249" width="21.81640625" style="15" customWidth="1"/>
    <col min="10250" max="10251" width="8.7265625" style="15"/>
    <col min="10252" max="10252" width="10.453125" style="15" bestFit="1" customWidth="1"/>
    <col min="10253" max="10498" width="8.7265625" style="15"/>
    <col min="10499" max="10499" width="10.453125" style="15" bestFit="1" customWidth="1"/>
    <col min="10500" max="10504" width="8.7265625" style="15"/>
    <col min="10505" max="10505" width="21.81640625" style="15" customWidth="1"/>
    <col min="10506" max="10507" width="8.7265625" style="15"/>
    <col min="10508" max="10508" width="10.453125" style="15" bestFit="1" customWidth="1"/>
    <col min="10509" max="10754" width="8.7265625" style="15"/>
    <col min="10755" max="10755" width="10.453125" style="15" bestFit="1" customWidth="1"/>
    <col min="10756" max="10760" width="8.7265625" style="15"/>
    <col min="10761" max="10761" width="21.81640625" style="15" customWidth="1"/>
    <col min="10762" max="10763" width="8.7265625" style="15"/>
    <col min="10764" max="10764" width="10.453125" style="15" bestFit="1" customWidth="1"/>
    <col min="10765" max="11010" width="8.7265625" style="15"/>
    <col min="11011" max="11011" width="10.453125" style="15" bestFit="1" customWidth="1"/>
    <col min="11012" max="11016" width="8.7265625" style="15"/>
    <col min="11017" max="11017" width="21.81640625" style="15" customWidth="1"/>
    <col min="11018" max="11019" width="8.7265625" style="15"/>
    <col min="11020" max="11020" width="10.453125" style="15" bestFit="1" customWidth="1"/>
    <col min="11021" max="11266" width="8.7265625" style="15"/>
    <col min="11267" max="11267" width="10.453125" style="15" bestFit="1" customWidth="1"/>
    <col min="11268" max="11272" width="8.7265625" style="15"/>
    <col min="11273" max="11273" width="21.81640625" style="15" customWidth="1"/>
    <col min="11274" max="11275" width="8.7265625" style="15"/>
    <col min="11276" max="11276" width="10.453125" style="15" bestFit="1" customWidth="1"/>
    <col min="11277" max="11522" width="8.7265625" style="15"/>
    <col min="11523" max="11523" width="10.453125" style="15" bestFit="1" customWidth="1"/>
    <col min="11524" max="11528" width="8.7265625" style="15"/>
    <col min="11529" max="11529" width="21.81640625" style="15" customWidth="1"/>
    <col min="11530" max="11531" width="8.7265625" style="15"/>
    <col min="11532" max="11532" width="10.453125" style="15" bestFit="1" customWidth="1"/>
    <col min="11533" max="11778" width="8.7265625" style="15"/>
    <col min="11779" max="11779" width="10.453125" style="15" bestFit="1" customWidth="1"/>
    <col min="11780" max="11784" width="8.7265625" style="15"/>
    <col min="11785" max="11785" width="21.81640625" style="15" customWidth="1"/>
    <col min="11786" max="11787" width="8.7265625" style="15"/>
    <col min="11788" max="11788" width="10.453125" style="15" bestFit="1" customWidth="1"/>
    <col min="11789" max="12034" width="8.7265625" style="15"/>
    <col min="12035" max="12035" width="10.453125" style="15" bestFit="1" customWidth="1"/>
    <col min="12036" max="12040" width="8.7265625" style="15"/>
    <col min="12041" max="12041" width="21.81640625" style="15" customWidth="1"/>
    <col min="12042" max="12043" width="8.7265625" style="15"/>
    <col min="12044" max="12044" width="10.453125" style="15" bestFit="1" customWidth="1"/>
    <col min="12045" max="12290" width="8.7265625" style="15"/>
    <col min="12291" max="12291" width="10.453125" style="15" bestFit="1" customWidth="1"/>
    <col min="12292" max="12296" width="8.7265625" style="15"/>
    <col min="12297" max="12297" width="21.81640625" style="15" customWidth="1"/>
    <col min="12298" max="12299" width="8.7265625" style="15"/>
    <col min="12300" max="12300" width="10.453125" style="15" bestFit="1" customWidth="1"/>
    <col min="12301" max="12546" width="8.7265625" style="15"/>
    <col min="12547" max="12547" width="10.453125" style="15" bestFit="1" customWidth="1"/>
    <col min="12548" max="12552" width="8.7265625" style="15"/>
    <col min="12553" max="12553" width="21.81640625" style="15" customWidth="1"/>
    <col min="12554" max="12555" width="8.7265625" style="15"/>
    <col min="12556" max="12556" width="10.453125" style="15" bestFit="1" customWidth="1"/>
    <col min="12557" max="12802" width="8.7265625" style="15"/>
    <col min="12803" max="12803" width="10.453125" style="15" bestFit="1" customWidth="1"/>
    <col min="12804" max="12808" width="8.7265625" style="15"/>
    <col min="12809" max="12809" width="21.81640625" style="15" customWidth="1"/>
    <col min="12810" max="12811" width="8.7265625" style="15"/>
    <col min="12812" max="12812" width="10.453125" style="15" bestFit="1" customWidth="1"/>
    <col min="12813" max="13058" width="8.7265625" style="15"/>
    <col min="13059" max="13059" width="10.453125" style="15" bestFit="1" customWidth="1"/>
    <col min="13060" max="13064" width="8.7265625" style="15"/>
    <col min="13065" max="13065" width="21.81640625" style="15" customWidth="1"/>
    <col min="13066" max="13067" width="8.7265625" style="15"/>
    <col min="13068" max="13068" width="10.453125" style="15" bestFit="1" customWidth="1"/>
    <col min="13069" max="13314" width="8.7265625" style="15"/>
    <col min="13315" max="13315" width="10.453125" style="15" bestFit="1" customWidth="1"/>
    <col min="13316" max="13320" width="8.7265625" style="15"/>
    <col min="13321" max="13321" width="21.81640625" style="15" customWidth="1"/>
    <col min="13322" max="13323" width="8.7265625" style="15"/>
    <col min="13324" max="13324" width="10.453125" style="15" bestFit="1" customWidth="1"/>
    <col min="13325" max="13570" width="8.7265625" style="15"/>
    <col min="13571" max="13571" width="10.453125" style="15" bestFit="1" customWidth="1"/>
    <col min="13572" max="13576" width="8.7265625" style="15"/>
    <col min="13577" max="13577" width="21.81640625" style="15" customWidth="1"/>
    <col min="13578" max="13579" width="8.7265625" style="15"/>
    <col min="13580" max="13580" width="10.453125" style="15" bestFit="1" customWidth="1"/>
    <col min="13581" max="13826" width="8.7265625" style="15"/>
    <col min="13827" max="13827" width="10.453125" style="15" bestFit="1" customWidth="1"/>
    <col min="13828" max="13832" width="8.7265625" style="15"/>
    <col min="13833" max="13833" width="21.81640625" style="15" customWidth="1"/>
    <col min="13834" max="13835" width="8.7265625" style="15"/>
    <col min="13836" max="13836" width="10.453125" style="15" bestFit="1" customWidth="1"/>
    <col min="13837" max="14082" width="8.7265625" style="15"/>
    <col min="14083" max="14083" width="10.453125" style="15" bestFit="1" customWidth="1"/>
    <col min="14084" max="14088" width="8.7265625" style="15"/>
    <col min="14089" max="14089" width="21.81640625" style="15" customWidth="1"/>
    <col min="14090" max="14091" width="8.7265625" style="15"/>
    <col min="14092" max="14092" width="10.453125" style="15" bestFit="1" customWidth="1"/>
    <col min="14093" max="14338" width="8.7265625" style="15"/>
    <col min="14339" max="14339" width="10.453125" style="15" bestFit="1" customWidth="1"/>
    <col min="14340" max="14344" width="8.7265625" style="15"/>
    <col min="14345" max="14345" width="21.81640625" style="15" customWidth="1"/>
    <col min="14346" max="14347" width="8.7265625" style="15"/>
    <col min="14348" max="14348" width="10.453125" style="15" bestFit="1" customWidth="1"/>
    <col min="14349" max="14594" width="8.7265625" style="15"/>
    <col min="14595" max="14595" width="10.453125" style="15" bestFit="1" customWidth="1"/>
    <col min="14596" max="14600" width="8.7265625" style="15"/>
    <col min="14601" max="14601" width="21.81640625" style="15" customWidth="1"/>
    <col min="14602" max="14603" width="8.7265625" style="15"/>
    <col min="14604" max="14604" width="10.453125" style="15" bestFit="1" customWidth="1"/>
    <col min="14605" max="14850" width="8.7265625" style="15"/>
    <col min="14851" max="14851" width="10.453125" style="15" bestFit="1" customWidth="1"/>
    <col min="14852" max="14856" width="8.7265625" style="15"/>
    <col min="14857" max="14857" width="21.81640625" style="15" customWidth="1"/>
    <col min="14858" max="14859" width="8.7265625" style="15"/>
    <col min="14860" max="14860" width="10.453125" style="15" bestFit="1" customWidth="1"/>
    <col min="14861" max="15106" width="8.7265625" style="15"/>
    <col min="15107" max="15107" width="10.453125" style="15" bestFit="1" customWidth="1"/>
    <col min="15108" max="15112" width="8.7265625" style="15"/>
    <col min="15113" max="15113" width="21.81640625" style="15" customWidth="1"/>
    <col min="15114" max="15115" width="8.7265625" style="15"/>
    <col min="15116" max="15116" width="10.453125" style="15" bestFit="1" customWidth="1"/>
    <col min="15117" max="15362" width="8.7265625" style="15"/>
    <col min="15363" max="15363" width="10.453125" style="15" bestFit="1" customWidth="1"/>
    <col min="15364" max="15368" width="8.7265625" style="15"/>
    <col min="15369" max="15369" width="21.81640625" style="15" customWidth="1"/>
    <col min="15370" max="15371" width="8.7265625" style="15"/>
    <col min="15372" max="15372" width="10.453125" style="15" bestFit="1" customWidth="1"/>
    <col min="15373" max="15618" width="8.7265625" style="15"/>
    <col min="15619" max="15619" width="10.453125" style="15" bestFit="1" customWidth="1"/>
    <col min="15620" max="15624" width="8.7265625" style="15"/>
    <col min="15625" max="15625" width="21.81640625" style="15" customWidth="1"/>
    <col min="15626" max="15627" width="8.7265625" style="15"/>
    <col min="15628" max="15628" width="10.453125" style="15" bestFit="1" customWidth="1"/>
    <col min="15629" max="15874" width="8.7265625" style="15"/>
    <col min="15875" max="15875" width="10.453125" style="15" bestFit="1" customWidth="1"/>
    <col min="15876" max="15880" width="8.7265625" style="15"/>
    <col min="15881" max="15881" width="21.81640625" style="15" customWidth="1"/>
    <col min="15882" max="15883" width="8.7265625" style="15"/>
    <col min="15884" max="15884" width="10.453125" style="15" bestFit="1" customWidth="1"/>
    <col min="15885" max="16130" width="8.7265625" style="15"/>
    <col min="16131" max="16131" width="10.453125" style="15" bestFit="1" customWidth="1"/>
    <col min="16132" max="16136" width="8.7265625" style="15"/>
    <col min="16137" max="16137" width="21.81640625" style="15" customWidth="1"/>
    <col min="16138" max="16139" width="8.7265625" style="15"/>
    <col min="16140" max="16140" width="10.453125" style="15" bestFit="1" customWidth="1"/>
    <col min="16141" max="16384" width="8.7265625" style="15"/>
  </cols>
  <sheetData>
    <row r="4" spans="3:12" ht="13" thickBot="1" x14ac:dyDescent="0.3">
      <c r="C4" s="15" t="s">
        <v>18</v>
      </c>
      <c r="L4" s="15" t="s">
        <v>19</v>
      </c>
    </row>
    <row r="5" spans="3:12" ht="13" thickBot="1" x14ac:dyDescent="0.3">
      <c r="C5" s="16">
        <v>120000</v>
      </c>
      <c r="L5" s="16">
        <v>169000</v>
      </c>
    </row>
    <row r="6" spans="3:12" ht="13" thickBot="1" x14ac:dyDescent="0.3">
      <c r="C6" s="16">
        <v>12000</v>
      </c>
      <c r="L6" s="16">
        <v>169000</v>
      </c>
    </row>
    <row r="7" spans="3:12" ht="13" thickBot="1" x14ac:dyDescent="0.3">
      <c r="C7" s="16">
        <v>108000</v>
      </c>
      <c r="L7" s="16">
        <v>169000</v>
      </c>
    </row>
    <row r="8" spans="3:12" ht="13" thickBot="1" x14ac:dyDescent="0.3">
      <c r="C8" s="16">
        <v>120000</v>
      </c>
      <c r="H8" s="15" t="s">
        <v>20</v>
      </c>
      <c r="I8" s="17">
        <f>SUM(C5:C66)</f>
        <v>3844967.18</v>
      </c>
      <c r="L8" s="16">
        <v>169000</v>
      </c>
    </row>
    <row r="9" spans="3:12" ht="13" thickBot="1" x14ac:dyDescent="0.3">
      <c r="C9" s="16">
        <v>120000</v>
      </c>
      <c r="H9" s="15" t="s">
        <v>19</v>
      </c>
      <c r="I9" s="17">
        <f>SUM(L5:L36)</f>
        <v>3104086</v>
      </c>
      <c r="L9" s="16">
        <v>169000</v>
      </c>
    </row>
    <row r="10" spans="3:12" ht="13" thickBot="1" x14ac:dyDescent="0.3">
      <c r="C10" s="16">
        <v>120000</v>
      </c>
      <c r="L10" s="16">
        <v>169000</v>
      </c>
    </row>
    <row r="11" spans="3:12" ht="13" thickBot="1" x14ac:dyDescent="0.3">
      <c r="C11" s="16">
        <v>120000</v>
      </c>
      <c r="L11" s="16">
        <v>425000</v>
      </c>
    </row>
    <row r="12" spans="3:12" ht="13" thickBot="1" x14ac:dyDescent="0.3">
      <c r="C12" s="16">
        <v>121000</v>
      </c>
      <c r="L12" s="16">
        <v>169000</v>
      </c>
    </row>
    <row r="13" spans="3:12" ht="13" thickBot="1" x14ac:dyDescent="0.3">
      <c r="C13" s="16">
        <v>290000</v>
      </c>
      <c r="L13" s="16">
        <v>120000</v>
      </c>
    </row>
    <row r="14" spans="3:12" ht="13" thickBot="1" x14ac:dyDescent="0.3">
      <c r="C14" s="18">
        <v>1</v>
      </c>
      <c r="L14" s="16">
        <v>49000</v>
      </c>
    </row>
    <row r="15" spans="3:12" ht="13" thickBot="1" x14ac:dyDescent="0.3">
      <c r="C15" s="16">
        <v>62000</v>
      </c>
      <c r="L15" s="16">
        <v>49075</v>
      </c>
    </row>
    <row r="16" spans="3:12" ht="13" thickBot="1" x14ac:dyDescent="0.3">
      <c r="C16" s="16">
        <v>55000</v>
      </c>
      <c r="L16" s="16">
        <v>52400</v>
      </c>
    </row>
    <row r="17" spans="3:12" ht="13" thickBot="1" x14ac:dyDescent="0.3">
      <c r="C17" s="16">
        <v>55000</v>
      </c>
      <c r="L17" s="16">
        <v>52400</v>
      </c>
    </row>
    <row r="18" spans="3:12" ht="13" thickBot="1" x14ac:dyDescent="0.3">
      <c r="C18" s="16">
        <v>55000</v>
      </c>
      <c r="L18" s="16">
        <v>67000</v>
      </c>
    </row>
    <row r="19" spans="3:12" ht="13" thickBot="1" x14ac:dyDescent="0.3">
      <c r="C19" s="16">
        <v>55000</v>
      </c>
      <c r="L19" s="16">
        <v>25000</v>
      </c>
    </row>
    <row r="20" spans="3:12" ht="13" thickBot="1" x14ac:dyDescent="0.3">
      <c r="C20" s="16">
        <v>55000</v>
      </c>
      <c r="L20" s="16">
        <v>45000</v>
      </c>
    </row>
    <row r="21" spans="3:12" ht="13" thickBot="1" x14ac:dyDescent="0.3">
      <c r="C21" s="16">
        <v>55000</v>
      </c>
      <c r="L21" s="16">
        <v>45000</v>
      </c>
    </row>
    <row r="22" spans="3:12" ht="13" thickBot="1" x14ac:dyDescent="0.3">
      <c r="C22" s="16">
        <v>55000</v>
      </c>
      <c r="L22" s="16">
        <v>45000</v>
      </c>
    </row>
    <row r="23" spans="3:12" ht="13" thickBot="1" x14ac:dyDescent="0.3">
      <c r="C23" s="16">
        <v>55000</v>
      </c>
      <c r="L23" s="16">
        <v>36000</v>
      </c>
    </row>
    <row r="24" spans="3:12" ht="13" thickBot="1" x14ac:dyDescent="0.3">
      <c r="C24" s="16">
        <v>55000</v>
      </c>
      <c r="L24" s="16">
        <v>13000</v>
      </c>
    </row>
    <row r="25" spans="3:12" ht="13" thickBot="1" x14ac:dyDescent="0.3">
      <c r="C25" s="16">
        <v>55000</v>
      </c>
      <c r="L25" s="16">
        <v>20000</v>
      </c>
    </row>
    <row r="26" spans="3:12" ht="13" thickBot="1" x14ac:dyDescent="0.3">
      <c r="C26" s="16">
        <v>45000</v>
      </c>
      <c r="L26" s="16">
        <v>100000</v>
      </c>
    </row>
    <row r="27" spans="3:12" ht="13" thickBot="1" x14ac:dyDescent="0.3">
      <c r="C27" s="16">
        <v>55000</v>
      </c>
      <c r="L27" s="16">
        <v>110000</v>
      </c>
    </row>
    <row r="28" spans="3:12" ht="13" thickBot="1" x14ac:dyDescent="0.3">
      <c r="C28" s="16">
        <v>45000</v>
      </c>
      <c r="L28" s="16">
        <v>87000</v>
      </c>
    </row>
    <row r="29" spans="3:12" ht="13" thickBot="1" x14ac:dyDescent="0.3">
      <c r="C29" s="16">
        <v>5000</v>
      </c>
      <c r="L29" s="16">
        <v>100000</v>
      </c>
    </row>
    <row r="30" spans="3:12" ht="13" thickBot="1" x14ac:dyDescent="0.3">
      <c r="C30" s="16">
        <v>20000</v>
      </c>
      <c r="L30" s="16">
        <v>150000</v>
      </c>
    </row>
    <row r="31" spans="3:12" ht="13" thickBot="1" x14ac:dyDescent="0.3">
      <c r="C31" s="16">
        <v>51311</v>
      </c>
      <c r="L31" s="16">
        <v>30000</v>
      </c>
    </row>
    <row r="32" spans="3:12" ht="13" thickBot="1" x14ac:dyDescent="0.3">
      <c r="C32" s="16">
        <v>45000</v>
      </c>
      <c r="L32" s="18">
        <v>11</v>
      </c>
    </row>
    <row r="33" spans="3:12" ht="13" thickBot="1" x14ac:dyDescent="0.3">
      <c r="C33" s="16">
        <v>51311</v>
      </c>
      <c r="L33" s="16">
        <v>100000</v>
      </c>
    </row>
    <row r="34" spans="3:12" ht="13" thickBot="1" x14ac:dyDescent="0.3">
      <c r="C34" s="16">
        <v>100000</v>
      </c>
      <c r="L34" s="18">
        <v>100</v>
      </c>
    </row>
    <row r="35" spans="3:12" ht="13" thickBot="1" x14ac:dyDescent="0.3">
      <c r="C35" s="16">
        <v>45000</v>
      </c>
      <c r="L35" s="16">
        <v>200000</v>
      </c>
    </row>
    <row r="36" spans="3:12" ht="13" thickBot="1" x14ac:dyDescent="0.3">
      <c r="C36" s="16">
        <v>51311</v>
      </c>
      <c r="L36" s="18">
        <v>100</v>
      </c>
    </row>
    <row r="37" spans="3:12" ht="13" thickBot="1" x14ac:dyDescent="0.3">
      <c r="C37" s="16">
        <v>274000</v>
      </c>
    </row>
    <row r="38" spans="3:12" ht="13" thickBot="1" x14ac:dyDescent="0.3">
      <c r="C38" s="16">
        <v>45000</v>
      </c>
    </row>
    <row r="39" spans="3:12" ht="13" thickBot="1" x14ac:dyDescent="0.3">
      <c r="C39" s="16">
        <v>51311</v>
      </c>
    </row>
    <row r="40" spans="3:12" ht="13" thickBot="1" x14ac:dyDescent="0.3">
      <c r="C40" s="16">
        <v>45000</v>
      </c>
    </row>
    <row r="41" spans="3:12" ht="13" thickBot="1" x14ac:dyDescent="0.3">
      <c r="C41" s="16">
        <v>51311</v>
      </c>
    </row>
    <row r="42" spans="3:12" ht="13" thickBot="1" x14ac:dyDescent="0.3">
      <c r="C42" s="16">
        <v>52000</v>
      </c>
    </row>
    <row r="43" spans="3:12" ht="13" thickBot="1" x14ac:dyDescent="0.3">
      <c r="C43" s="16">
        <v>60000</v>
      </c>
    </row>
    <row r="44" spans="3:12" ht="13" thickBot="1" x14ac:dyDescent="0.3">
      <c r="C44" s="16">
        <v>45000</v>
      </c>
    </row>
    <row r="45" spans="3:12" ht="13" thickBot="1" x14ac:dyDescent="0.3">
      <c r="C45" s="16">
        <v>51311</v>
      </c>
    </row>
    <row r="46" spans="3:12" ht="13" thickBot="1" x14ac:dyDescent="0.3">
      <c r="C46" s="16">
        <v>32000</v>
      </c>
    </row>
    <row r="47" spans="3:12" ht="13" thickBot="1" x14ac:dyDescent="0.3">
      <c r="C47" s="16">
        <v>180000</v>
      </c>
    </row>
    <row r="48" spans="3:12" ht="13" thickBot="1" x14ac:dyDescent="0.3">
      <c r="C48" s="16">
        <v>51311</v>
      </c>
    </row>
    <row r="49" spans="3:3" ht="13" thickBot="1" x14ac:dyDescent="0.3">
      <c r="C49" s="16">
        <v>4444</v>
      </c>
    </row>
    <row r="50" spans="3:3" ht="13" thickBot="1" x14ac:dyDescent="0.3">
      <c r="C50" s="16">
        <v>11111</v>
      </c>
    </row>
    <row r="51" spans="3:3" ht="13" thickBot="1" x14ac:dyDescent="0.3">
      <c r="C51" s="16">
        <v>51311</v>
      </c>
    </row>
    <row r="52" spans="3:3" ht="13" thickBot="1" x14ac:dyDescent="0.3">
      <c r="C52" s="16">
        <v>52000</v>
      </c>
    </row>
    <row r="53" spans="3:3" ht="13" thickBot="1" x14ac:dyDescent="0.3">
      <c r="C53" s="16">
        <v>51311</v>
      </c>
    </row>
    <row r="54" spans="3:3" ht="13" thickBot="1" x14ac:dyDescent="0.3">
      <c r="C54" s="16">
        <v>51311</v>
      </c>
    </row>
    <row r="55" spans="3:3" ht="13" thickBot="1" x14ac:dyDescent="0.3">
      <c r="C55" s="16">
        <v>51311</v>
      </c>
    </row>
    <row r="56" spans="3:3" ht="13" thickBot="1" x14ac:dyDescent="0.3">
      <c r="C56" s="16">
        <v>55000</v>
      </c>
    </row>
    <row r="57" spans="3:3" ht="13" thickBot="1" x14ac:dyDescent="0.3">
      <c r="C57" s="16">
        <v>55000</v>
      </c>
    </row>
    <row r="58" spans="3:3" ht="13" thickBot="1" x14ac:dyDescent="0.3">
      <c r="C58" s="16">
        <v>55000</v>
      </c>
    </row>
    <row r="59" spans="3:3" ht="13" thickBot="1" x14ac:dyDescent="0.3">
      <c r="C59" s="16">
        <v>4990.18</v>
      </c>
    </row>
    <row r="60" spans="3:3" ht="13" thickBot="1" x14ac:dyDescent="0.3">
      <c r="C60" s="16">
        <v>55000</v>
      </c>
    </row>
    <row r="61" spans="3:3" ht="13" thickBot="1" x14ac:dyDescent="0.3">
      <c r="C61" s="16">
        <v>5000</v>
      </c>
    </row>
    <row r="62" spans="3:3" ht="13" thickBot="1" x14ac:dyDescent="0.3">
      <c r="C62" s="16">
        <v>50000</v>
      </c>
    </row>
    <row r="63" spans="3:3" ht="13" thickBot="1" x14ac:dyDescent="0.3">
      <c r="C63" s="16">
        <v>20000</v>
      </c>
    </row>
    <row r="64" spans="3:3" ht="13" thickBot="1" x14ac:dyDescent="0.3">
      <c r="C64" s="16">
        <v>20000</v>
      </c>
    </row>
    <row r="65" spans="3:3" ht="13" thickBot="1" x14ac:dyDescent="0.3">
      <c r="C65" s="16">
        <v>50000</v>
      </c>
    </row>
    <row r="66" spans="3:3" x14ac:dyDescent="0.25">
      <c r="C66" s="19">
        <v>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G12"/>
  <sheetViews>
    <sheetView workbookViewId="0">
      <selection activeCell="G18" sqref="G18"/>
    </sheetView>
  </sheetViews>
  <sheetFormatPr defaultRowHeight="14.5" x14ac:dyDescent="0.35"/>
  <cols>
    <col min="5" max="5" width="9.6328125" bestFit="1" customWidth="1"/>
    <col min="6" max="6" width="12.1796875" bestFit="1" customWidth="1"/>
  </cols>
  <sheetData>
    <row r="1" spans="4:7" ht="15" thickBot="1" x14ac:dyDescent="0.4"/>
    <row r="2" spans="4:7" ht="15" thickBot="1" x14ac:dyDescent="0.4">
      <c r="D2" s="43"/>
      <c r="E2" s="44" t="s">
        <v>10</v>
      </c>
      <c r="F2" s="45" t="s">
        <v>11</v>
      </c>
    </row>
    <row r="3" spans="4:7" x14ac:dyDescent="0.35">
      <c r="D3" s="49">
        <v>2018</v>
      </c>
      <c r="E3" s="50">
        <f>27000*9</f>
        <v>243000</v>
      </c>
      <c r="F3" s="51"/>
    </row>
    <row r="4" spans="4:7" x14ac:dyDescent="0.35">
      <c r="D4" s="37">
        <v>2019</v>
      </c>
      <c r="E4" s="38">
        <f>27000*10</f>
        <v>270000</v>
      </c>
      <c r="F4" s="39">
        <f>32000*2</f>
        <v>64000</v>
      </c>
    </row>
    <row r="5" spans="4:7" x14ac:dyDescent="0.35">
      <c r="D5" s="37">
        <v>2020</v>
      </c>
      <c r="E5" s="38"/>
      <c r="F5" s="39">
        <f>32000*12</f>
        <v>384000</v>
      </c>
    </row>
    <row r="6" spans="4:7" x14ac:dyDescent="0.35">
      <c r="D6" s="37">
        <v>2021</v>
      </c>
      <c r="E6" s="38"/>
      <c r="F6" s="39">
        <f>34000*12</f>
        <v>408000</v>
      </c>
    </row>
    <row r="7" spans="4:7" x14ac:dyDescent="0.35">
      <c r="D7" s="37">
        <v>2022</v>
      </c>
      <c r="E7" s="38">
        <f>26000*9</f>
        <v>234000</v>
      </c>
      <c r="F7" s="39">
        <f>34000*3</f>
        <v>102000</v>
      </c>
    </row>
    <row r="8" spans="4:7" x14ac:dyDescent="0.35">
      <c r="D8" s="37">
        <v>2023</v>
      </c>
      <c r="E8" s="38">
        <f>30000*9</f>
        <v>270000</v>
      </c>
      <c r="F8" s="39"/>
    </row>
    <row r="9" spans="4:7" x14ac:dyDescent="0.35">
      <c r="D9" s="37">
        <v>2024</v>
      </c>
      <c r="E9" s="38"/>
      <c r="F9" s="39">
        <f>36000*11</f>
        <v>396000</v>
      </c>
    </row>
    <row r="10" spans="4:7" x14ac:dyDescent="0.35">
      <c r="D10" s="37">
        <v>2025</v>
      </c>
      <c r="E10" s="38">
        <f>64000*12</f>
        <v>768000</v>
      </c>
      <c r="F10" s="39"/>
    </row>
    <row r="11" spans="4:7" ht="15" thickBot="1" x14ac:dyDescent="0.4">
      <c r="D11" s="40">
        <v>2026</v>
      </c>
      <c r="E11" s="41">
        <f>64000*8</f>
        <v>512000</v>
      </c>
      <c r="F11" s="42"/>
      <c r="G11" t="s">
        <v>398</v>
      </c>
    </row>
    <row r="12" spans="4:7" ht="15" thickBot="1" x14ac:dyDescent="0.4">
      <c r="D12" s="46"/>
      <c r="E12" s="47">
        <f>SUM(E3:E11)</f>
        <v>2297000</v>
      </c>
      <c r="F12" s="48">
        <f>SUM(F3:F11)</f>
        <v>1354000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36B1-1483-4481-845D-63B9B387FB7A}">
  <dimension ref="C1:F12"/>
  <sheetViews>
    <sheetView workbookViewId="0">
      <selection activeCell="F11" sqref="F11"/>
    </sheetView>
  </sheetViews>
  <sheetFormatPr defaultRowHeight="14.5" x14ac:dyDescent="0.35"/>
  <cols>
    <col min="4" max="4" width="8.81640625" bestFit="1" customWidth="1"/>
    <col min="5" max="5" width="11.1796875" bestFit="1" customWidth="1"/>
  </cols>
  <sheetData>
    <row r="1" spans="3:6" ht="15" thickBot="1" x14ac:dyDescent="0.4"/>
    <row r="2" spans="3:6" x14ac:dyDescent="0.35">
      <c r="C2" s="34"/>
      <c r="D2" s="35" t="s">
        <v>10</v>
      </c>
      <c r="E2" s="35" t="s">
        <v>11</v>
      </c>
      <c r="F2" s="36"/>
    </row>
    <row r="3" spans="3:6" x14ac:dyDescent="0.35">
      <c r="C3" s="37">
        <v>2018</v>
      </c>
      <c r="D3" s="38"/>
      <c r="E3" s="38">
        <f>10000*12</f>
        <v>120000</v>
      </c>
      <c r="F3" s="53"/>
    </row>
    <row r="4" spans="3:6" x14ac:dyDescent="0.35">
      <c r="C4" s="37">
        <v>2019</v>
      </c>
      <c r="D4" s="38"/>
      <c r="E4" s="38">
        <f>11000*12</f>
        <v>132000</v>
      </c>
      <c r="F4" s="53"/>
    </row>
    <row r="5" spans="3:6" x14ac:dyDescent="0.35">
      <c r="C5" s="37">
        <v>2020</v>
      </c>
      <c r="D5" s="38"/>
      <c r="E5" s="38">
        <f>12000*7</f>
        <v>84000</v>
      </c>
      <c r="F5" s="53"/>
    </row>
    <row r="6" spans="3:6" x14ac:dyDescent="0.35">
      <c r="C6" s="37">
        <v>2021</v>
      </c>
      <c r="D6" s="38"/>
      <c r="E6" s="38">
        <f>12000*9+23000*3</f>
        <v>177000</v>
      </c>
      <c r="F6" s="53"/>
    </row>
    <row r="7" spans="3:6" x14ac:dyDescent="0.35">
      <c r="C7" s="37">
        <v>2022</v>
      </c>
      <c r="D7" s="38"/>
      <c r="E7" s="38">
        <f>18000*12+12000*12</f>
        <v>360000</v>
      </c>
      <c r="F7" s="53"/>
    </row>
    <row r="8" spans="3:6" x14ac:dyDescent="0.35">
      <c r="C8" s="37">
        <v>2023</v>
      </c>
      <c r="D8" s="38"/>
      <c r="E8" s="38">
        <f>18000*12+12000*12</f>
        <v>360000</v>
      </c>
      <c r="F8" s="53"/>
    </row>
    <row r="9" spans="3:6" x14ac:dyDescent="0.35">
      <c r="C9" s="37">
        <v>2024</v>
      </c>
      <c r="D9" s="38"/>
      <c r="E9" s="38">
        <f>19000*12+20000*2</f>
        <v>268000</v>
      </c>
      <c r="F9" s="53"/>
    </row>
    <row r="10" spans="3:6" x14ac:dyDescent="0.35">
      <c r="C10" s="37">
        <v>2025</v>
      </c>
      <c r="D10" s="38"/>
      <c r="E10" s="38">
        <f>15000*12+4000*4</f>
        <v>196000</v>
      </c>
      <c r="F10" s="53"/>
    </row>
    <row r="11" spans="3:6" x14ac:dyDescent="0.35">
      <c r="C11" s="37">
        <v>2026</v>
      </c>
      <c r="D11" s="38"/>
      <c r="E11" s="38">
        <f>19000*8</f>
        <v>152000</v>
      </c>
      <c r="F11" s="53" t="s">
        <v>398</v>
      </c>
    </row>
    <row r="12" spans="3:6" ht="15" thickBot="1" x14ac:dyDescent="0.4">
      <c r="C12" s="40"/>
      <c r="D12" s="41">
        <f>SUM(D3:D11)</f>
        <v>0</v>
      </c>
      <c r="E12" s="41">
        <f>SUM(E3:E11)</f>
        <v>1849000</v>
      </c>
      <c r="F12" s="5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1553-DA10-4652-BC86-DBB3F658C66D}">
  <dimension ref="D1:F34"/>
  <sheetViews>
    <sheetView topLeftCell="A14" workbookViewId="0">
      <selection activeCell="E35" sqref="E35"/>
    </sheetView>
  </sheetViews>
  <sheetFormatPr defaultRowHeight="14.5" x14ac:dyDescent="0.35"/>
  <cols>
    <col min="5" max="5" width="11.1796875" bestFit="1" customWidth="1"/>
  </cols>
  <sheetData>
    <row r="1" spans="4:5" ht="15" thickBot="1" x14ac:dyDescent="0.4"/>
    <row r="2" spans="4:5" x14ac:dyDescent="0.35">
      <c r="D2" s="49"/>
      <c r="E2" s="52" t="s">
        <v>11</v>
      </c>
    </row>
    <row r="3" spans="4:5" x14ac:dyDescent="0.35">
      <c r="D3" s="55">
        <v>45323</v>
      </c>
      <c r="E3" s="39">
        <v>18000</v>
      </c>
    </row>
    <row r="4" spans="4:5" x14ac:dyDescent="0.35">
      <c r="D4" s="55">
        <v>45352</v>
      </c>
      <c r="E4" s="39">
        <v>18000</v>
      </c>
    </row>
    <row r="5" spans="4:5" x14ac:dyDescent="0.35">
      <c r="D5" s="55">
        <v>45383</v>
      </c>
      <c r="E5" s="39">
        <v>18000</v>
      </c>
    </row>
    <row r="6" spans="4:5" x14ac:dyDescent="0.35">
      <c r="D6" s="55">
        <v>45413</v>
      </c>
      <c r="E6" s="39">
        <v>18000</v>
      </c>
    </row>
    <row r="7" spans="4:5" x14ac:dyDescent="0.35">
      <c r="D7" s="55">
        <v>45444</v>
      </c>
      <c r="E7" s="39">
        <v>18000</v>
      </c>
    </row>
    <row r="8" spans="4:5" x14ac:dyDescent="0.35">
      <c r="D8" s="55">
        <v>45474</v>
      </c>
      <c r="E8" s="39">
        <v>18000</v>
      </c>
    </row>
    <row r="9" spans="4:5" x14ac:dyDescent="0.35">
      <c r="D9" s="55">
        <v>45505</v>
      </c>
      <c r="E9" s="39">
        <v>18000</v>
      </c>
    </row>
    <row r="10" spans="4:5" x14ac:dyDescent="0.35">
      <c r="D10" s="55">
        <v>45536</v>
      </c>
      <c r="E10" s="39">
        <v>18000</v>
      </c>
    </row>
    <row r="11" spans="4:5" x14ac:dyDescent="0.35">
      <c r="D11" s="55">
        <v>45566</v>
      </c>
      <c r="E11" s="39">
        <v>18000</v>
      </c>
    </row>
    <row r="12" spans="4:5" x14ac:dyDescent="0.35">
      <c r="D12" s="55">
        <v>45597</v>
      </c>
      <c r="E12" s="39">
        <v>18000</v>
      </c>
    </row>
    <row r="13" spans="4:5" x14ac:dyDescent="0.35">
      <c r="D13" s="55">
        <v>45627</v>
      </c>
      <c r="E13" s="39">
        <f>18000+15000</f>
        <v>33000</v>
      </c>
    </row>
    <row r="14" spans="4:5" x14ac:dyDescent="0.35">
      <c r="D14" s="55">
        <v>45658</v>
      </c>
      <c r="E14" s="39">
        <f>15000</f>
        <v>15000</v>
      </c>
    </row>
    <row r="15" spans="4:5" x14ac:dyDescent="0.35">
      <c r="D15" s="55">
        <v>45689</v>
      </c>
      <c r="E15" s="39">
        <f>15000</f>
        <v>15000</v>
      </c>
    </row>
    <row r="16" spans="4:5" x14ac:dyDescent="0.35">
      <c r="D16" s="55">
        <v>45717</v>
      </c>
      <c r="E16" s="39">
        <f>15000</f>
        <v>15000</v>
      </c>
    </row>
    <row r="17" spans="4:6" x14ac:dyDescent="0.35">
      <c r="D17" s="55">
        <v>45748</v>
      </c>
      <c r="E17" s="39">
        <f>15000</f>
        <v>15000</v>
      </c>
    </row>
    <row r="18" spans="4:6" x14ac:dyDescent="0.35">
      <c r="D18" s="55">
        <v>45778</v>
      </c>
      <c r="E18" s="39">
        <f>15000</f>
        <v>15000</v>
      </c>
    </row>
    <row r="19" spans="4:6" x14ac:dyDescent="0.35">
      <c r="D19" s="55">
        <v>45809</v>
      </c>
      <c r="E19" s="39">
        <f>15000</f>
        <v>15000</v>
      </c>
    </row>
    <row r="20" spans="4:6" x14ac:dyDescent="0.35">
      <c r="D20" s="55">
        <v>45839</v>
      </c>
      <c r="E20" s="39">
        <f>15000</f>
        <v>15000</v>
      </c>
    </row>
    <row r="21" spans="4:6" x14ac:dyDescent="0.35">
      <c r="D21" s="55">
        <v>45870</v>
      </c>
      <c r="E21" s="39">
        <f>15000</f>
        <v>15000</v>
      </c>
    </row>
    <row r="22" spans="4:6" x14ac:dyDescent="0.35">
      <c r="D22" s="55">
        <v>45901</v>
      </c>
      <c r="E22" s="39">
        <f>15000</f>
        <v>15000</v>
      </c>
    </row>
    <row r="23" spans="4:6" x14ac:dyDescent="0.35">
      <c r="D23" s="55">
        <v>45931</v>
      </c>
      <c r="E23" s="39">
        <f>15000</f>
        <v>15000</v>
      </c>
    </row>
    <row r="24" spans="4:6" x14ac:dyDescent="0.35">
      <c r="D24" s="55">
        <v>45962</v>
      </c>
      <c r="E24" s="39">
        <f>15000</f>
        <v>15000</v>
      </c>
    </row>
    <row r="25" spans="4:6" x14ac:dyDescent="0.35">
      <c r="D25" s="55">
        <v>45992</v>
      </c>
      <c r="E25" s="39">
        <f>15000</f>
        <v>15000</v>
      </c>
    </row>
    <row r="26" spans="4:6" x14ac:dyDescent="0.35">
      <c r="D26" s="55">
        <v>46023</v>
      </c>
      <c r="E26" s="39">
        <f>15000</f>
        <v>15000</v>
      </c>
    </row>
    <row r="27" spans="4:6" x14ac:dyDescent="0.35">
      <c r="D27" s="55">
        <v>46054</v>
      </c>
      <c r="E27" s="39">
        <f>15000</f>
        <v>15000</v>
      </c>
    </row>
    <row r="28" spans="4:6" x14ac:dyDescent="0.35">
      <c r="D28" s="55">
        <v>46082</v>
      </c>
      <c r="E28" s="39">
        <f>15000</f>
        <v>15000</v>
      </c>
    </row>
    <row r="29" spans="4:6" x14ac:dyDescent="0.35">
      <c r="D29" s="55">
        <v>46113</v>
      </c>
      <c r="E29" s="39">
        <f>15000</f>
        <v>15000</v>
      </c>
    </row>
    <row r="30" spans="4:6" x14ac:dyDescent="0.35">
      <c r="D30" s="55">
        <v>46143</v>
      </c>
      <c r="E30" s="39">
        <f>15000</f>
        <v>15000</v>
      </c>
    </row>
    <row r="31" spans="4:6" x14ac:dyDescent="0.35">
      <c r="D31" s="59">
        <v>46174</v>
      </c>
      <c r="E31" s="60">
        <f>15000+5000</f>
        <v>20000</v>
      </c>
    </row>
    <row r="32" spans="4:6" x14ac:dyDescent="0.35">
      <c r="D32" s="59">
        <v>46204</v>
      </c>
      <c r="E32" s="60">
        <v>15000</v>
      </c>
      <c r="F32" t="s">
        <v>397</v>
      </c>
    </row>
    <row r="33" spans="4:6" x14ac:dyDescent="0.35">
      <c r="D33" s="59">
        <v>46235</v>
      </c>
      <c r="E33" s="60">
        <v>15000</v>
      </c>
      <c r="F33" t="s">
        <v>397</v>
      </c>
    </row>
    <row r="34" spans="4:6" ht="15" thickBot="1" x14ac:dyDescent="0.4">
      <c r="D34" s="40"/>
      <c r="E34" s="56">
        <f>SUM(E3:E33)</f>
        <v>518000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606F-40F8-48EC-B2EC-0F895CC640FA}">
  <dimension ref="B3:K123"/>
  <sheetViews>
    <sheetView topLeftCell="A94" workbookViewId="0">
      <selection activeCell="G97" sqref="G97:I97"/>
    </sheetView>
  </sheetViews>
  <sheetFormatPr defaultRowHeight="12.5" x14ac:dyDescent="0.25"/>
  <cols>
    <col min="1" max="9" width="8.7265625" style="15"/>
    <col min="10" max="10" width="13.08984375" style="15" bestFit="1" customWidth="1"/>
    <col min="11" max="265" width="8.7265625" style="15"/>
    <col min="266" max="266" width="13.08984375" style="15" bestFit="1" customWidth="1"/>
    <col min="267" max="521" width="8.7265625" style="15"/>
    <col min="522" max="522" width="13.08984375" style="15" bestFit="1" customWidth="1"/>
    <col min="523" max="777" width="8.7265625" style="15"/>
    <col min="778" max="778" width="13.08984375" style="15" bestFit="1" customWidth="1"/>
    <col min="779" max="1033" width="8.7265625" style="15"/>
    <col min="1034" max="1034" width="13.08984375" style="15" bestFit="1" customWidth="1"/>
    <col min="1035" max="1289" width="8.7265625" style="15"/>
    <col min="1290" max="1290" width="13.08984375" style="15" bestFit="1" customWidth="1"/>
    <col min="1291" max="1545" width="8.7265625" style="15"/>
    <col min="1546" max="1546" width="13.08984375" style="15" bestFit="1" customWidth="1"/>
    <col min="1547" max="1801" width="8.7265625" style="15"/>
    <col min="1802" max="1802" width="13.08984375" style="15" bestFit="1" customWidth="1"/>
    <col min="1803" max="2057" width="8.7265625" style="15"/>
    <col min="2058" max="2058" width="13.08984375" style="15" bestFit="1" customWidth="1"/>
    <col min="2059" max="2313" width="8.7265625" style="15"/>
    <col min="2314" max="2314" width="13.08984375" style="15" bestFit="1" customWidth="1"/>
    <col min="2315" max="2569" width="8.7265625" style="15"/>
    <col min="2570" max="2570" width="13.08984375" style="15" bestFit="1" customWidth="1"/>
    <col min="2571" max="2825" width="8.7265625" style="15"/>
    <col min="2826" max="2826" width="13.08984375" style="15" bestFit="1" customWidth="1"/>
    <col min="2827" max="3081" width="8.7265625" style="15"/>
    <col min="3082" max="3082" width="13.08984375" style="15" bestFit="1" customWidth="1"/>
    <col min="3083" max="3337" width="8.7265625" style="15"/>
    <col min="3338" max="3338" width="13.08984375" style="15" bestFit="1" customWidth="1"/>
    <col min="3339" max="3593" width="8.7265625" style="15"/>
    <col min="3594" max="3594" width="13.08984375" style="15" bestFit="1" customWidth="1"/>
    <col min="3595" max="3849" width="8.7265625" style="15"/>
    <col min="3850" max="3850" width="13.08984375" style="15" bestFit="1" customWidth="1"/>
    <col min="3851" max="4105" width="8.7265625" style="15"/>
    <col min="4106" max="4106" width="13.08984375" style="15" bestFit="1" customWidth="1"/>
    <col min="4107" max="4361" width="8.7265625" style="15"/>
    <col min="4362" max="4362" width="13.08984375" style="15" bestFit="1" customWidth="1"/>
    <col min="4363" max="4617" width="8.7265625" style="15"/>
    <col min="4618" max="4618" width="13.08984375" style="15" bestFit="1" customWidth="1"/>
    <col min="4619" max="4873" width="8.7265625" style="15"/>
    <col min="4874" max="4874" width="13.08984375" style="15" bestFit="1" customWidth="1"/>
    <col min="4875" max="5129" width="8.7265625" style="15"/>
    <col min="5130" max="5130" width="13.08984375" style="15" bestFit="1" customWidth="1"/>
    <col min="5131" max="5385" width="8.7265625" style="15"/>
    <col min="5386" max="5386" width="13.08984375" style="15" bestFit="1" customWidth="1"/>
    <col min="5387" max="5641" width="8.7265625" style="15"/>
    <col min="5642" max="5642" width="13.08984375" style="15" bestFit="1" customWidth="1"/>
    <col min="5643" max="5897" width="8.7265625" style="15"/>
    <col min="5898" max="5898" width="13.08984375" style="15" bestFit="1" customWidth="1"/>
    <col min="5899" max="6153" width="8.7265625" style="15"/>
    <col min="6154" max="6154" width="13.08984375" style="15" bestFit="1" customWidth="1"/>
    <col min="6155" max="6409" width="8.7265625" style="15"/>
    <col min="6410" max="6410" width="13.08984375" style="15" bestFit="1" customWidth="1"/>
    <col min="6411" max="6665" width="8.7265625" style="15"/>
    <col min="6666" max="6666" width="13.08984375" style="15" bestFit="1" customWidth="1"/>
    <col min="6667" max="6921" width="8.7265625" style="15"/>
    <col min="6922" max="6922" width="13.08984375" style="15" bestFit="1" customWidth="1"/>
    <col min="6923" max="7177" width="8.7265625" style="15"/>
    <col min="7178" max="7178" width="13.08984375" style="15" bestFit="1" customWidth="1"/>
    <col min="7179" max="7433" width="8.7265625" style="15"/>
    <col min="7434" max="7434" width="13.08984375" style="15" bestFit="1" customWidth="1"/>
    <col min="7435" max="7689" width="8.7265625" style="15"/>
    <col min="7690" max="7690" width="13.08984375" style="15" bestFit="1" customWidth="1"/>
    <col min="7691" max="7945" width="8.7265625" style="15"/>
    <col min="7946" max="7946" width="13.08984375" style="15" bestFit="1" customWidth="1"/>
    <col min="7947" max="8201" width="8.7265625" style="15"/>
    <col min="8202" max="8202" width="13.08984375" style="15" bestFit="1" customWidth="1"/>
    <col min="8203" max="8457" width="8.7265625" style="15"/>
    <col min="8458" max="8458" width="13.08984375" style="15" bestFit="1" customWidth="1"/>
    <col min="8459" max="8713" width="8.7265625" style="15"/>
    <col min="8714" max="8714" width="13.08984375" style="15" bestFit="1" customWidth="1"/>
    <col min="8715" max="8969" width="8.7265625" style="15"/>
    <col min="8970" max="8970" width="13.08984375" style="15" bestFit="1" customWidth="1"/>
    <col min="8971" max="9225" width="8.7265625" style="15"/>
    <col min="9226" max="9226" width="13.08984375" style="15" bestFit="1" customWidth="1"/>
    <col min="9227" max="9481" width="8.7265625" style="15"/>
    <col min="9482" max="9482" width="13.08984375" style="15" bestFit="1" customWidth="1"/>
    <col min="9483" max="9737" width="8.7265625" style="15"/>
    <col min="9738" max="9738" width="13.08984375" style="15" bestFit="1" customWidth="1"/>
    <col min="9739" max="9993" width="8.7265625" style="15"/>
    <col min="9994" max="9994" width="13.08984375" style="15" bestFit="1" customWidth="1"/>
    <col min="9995" max="10249" width="8.7265625" style="15"/>
    <col min="10250" max="10250" width="13.08984375" style="15" bestFit="1" customWidth="1"/>
    <col min="10251" max="10505" width="8.7265625" style="15"/>
    <col min="10506" max="10506" width="13.08984375" style="15" bestFit="1" customWidth="1"/>
    <col min="10507" max="10761" width="8.7265625" style="15"/>
    <col min="10762" max="10762" width="13.08984375" style="15" bestFit="1" customWidth="1"/>
    <col min="10763" max="11017" width="8.7265625" style="15"/>
    <col min="11018" max="11018" width="13.08984375" style="15" bestFit="1" customWidth="1"/>
    <col min="11019" max="11273" width="8.7265625" style="15"/>
    <col min="11274" max="11274" width="13.08984375" style="15" bestFit="1" customWidth="1"/>
    <col min="11275" max="11529" width="8.7265625" style="15"/>
    <col min="11530" max="11530" width="13.08984375" style="15" bestFit="1" customWidth="1"/>
    <col min="11531" max="11785" width="8.7265625" style="15"/>
    <col min="11786" max="11786" width="13.08984375" style="15" bestFit="1" customWidth="1"/>
    <col min="11787" max="12041" width="8.7265625" style="15"/>
    <col min="12042" max="12042" width="13.08984375" style="15" bestFit="1" customWidth="1"/>
    <col min="12043" max="12297" width="8.7265625" style="15"/>
    <col min="12298" max="12298" width="13.08984375" style="15" bestFit="1" customWidth="1"/>
    <col min="12299" max="12553" width="8.7265625" style="15"/>
    <col min="12554" max="12554" width="13.08984375" style="15" bestFit="1" customWidth="1"/>
    <col min="12555" max="12809" width="8.7265625" style="15"/>
    <col min="12810" max="12810" width="13.08984375" style="15" bestFit="1" customWidth="1"/>
    <col min="12811" max="13065" width="8.7265625" style="15"/>
    <col min="13066" max="13066" width="13.08984375" style="15" bestFit="1" customWidth="1"/>
    <col min="13067" max="13321" width="8.7265625" style="15"/>
    <col min="13322" max="13322" width="13.08984375" style="15" bestFit="1" customWidth="1"/>
    <col min="13323" max="13577" width="8.7265625" style="15"/>
    <col min="13578" max="13578" width="13.08984375" style="15" bestFit="1" customWidth="1"/>
    <col min="13579" max="13833" width="8.7265625" style="15"/>
    <col min="13834" max="13834" width="13.08984375" style="15" bestFit="1" customWidth="1"/>
    <col min="13835" max="14089" width="8.7265625" style="15"/>
    <col min="14090" max="14090" width="13.08984375" style="15" bestFit="1" customWidth="1"/>
    <col min="14091" max="14345" width="8.7265625" style="15"/>
    <col min="14346" max="14346" width="13.08984375" style="15" bestFit="1" customWidth="1"/>
    <col min="14347" max="14601" width="8.7265625" style="15"/>
    <col min="14602" max="14602" width="13.08984375" style="15" bestFit="1" customWidth="1"/>
    <col min="14603" max="14857" width="8.7265625" style="15"/>
    <col min="14858" max="14858" width="13.08984375" style="15" bestFit="1" customWidth="1"/>
    <col min="14859" max="15113" width="8.7265625" style="15"/>
    <col min="15114" max="15114" width="13.08984375" style="15" bestFit="1" customWidth="1"/>
    <col min="15115" max="15369" width="8.7265625" style="15"/>
    <col min="15370" max="15370" width="13.08984375" style="15" bestFit="1" customWidth="1"/>
    <col min="15371" max="15625" width="8.7265625" style="15"/>
    <col min="15626" max="15626" width="13.08984375" style="15" bestFit="1" customWidth="1"/>
    <col min="15627" max="15881" width="8.7265625" style="15"/>
    <col min="15882" max="15882" width="13.08984375" style="15" bestFit="1" customWidth="1"/>
    <col min="15883" max="16137" width="8.7265625" style="15"/>
    <col min="16138" max="16138" width="13.08984375" style="15" bestFit="1" customWidth="1"/>
    <col min="16139" max="16384" width="8.7265625" style="15"/>
  </cols>
  <sheetData>
    <row r="3" spans="2:11" ht="13" thickBot="1" x14ac:dyDescent="0.3"/>
    <row r="4" spans="2:11" ht="26.5" thickBot="1" x14ac:dyDescent="0.3">
      <c r="B4" s="73" t="s">
        <v>21</v>
      </c>
      <c r="C4" s="74"/>
      <c r="D4" s="74" t="s">
        <v>22</v>
      </c>
      <c r="E4" s="74"/>
      <c r="F4" s="74"/>
      <c r="G4" s="74" t="s">
        <v>23</v>
      </c>
      <c r="H4" s="74"/>
      <c r="I4" s="74"/>
      <c r="J4" s="20" t="s">
        <v>24</v>
      </c>
      <c r="K4" s="21" t="s">
        <v>25</v>
      </c>
    </row>
    <row r="5" spans="2:11" ht="38" thickBot="1" x14ac:dyDescent="0.3">
      <c r="B5" s="71" t="s">
        <v>26</v>
      </c>
      <c r="C5" s="72"/>
      <c r="D5" s="72" t="s">
        <v>26</v>
      </c>
      <c r="E5" s="72"/>
      <c r="F5" s="72"/>
      <c r="G5" s="72" t="s">
        <v>27</v>
      </c>
      <c r="H5" s="72"/>
      <c r="I5" s="72"/>
      <c r="J5" s="16">
        <v>169000</v>
      </c>
      <c r="K5" s="22" t="s">
        <v>28</v>
      </c>
    </row>
    <row r="6" spans="2:11" ht="38" thickBot="1" x14ac:dyDescent="0.3">
      <c r="B6" s="71" t="s">
        <v>29</v>
      </c>
      <c r="C6" s="72"/>
      <c r="D6" s="72" t="s">
        <v>29</v>
      </c>
      <c r="E6" s="72"/>
      <c r="F6" s="72"/>
      <c r="G6" s="72" t="s">
        <v>30</v>
      </c>
      <c r="H6" s="72"/>
      <c r="I6" s="72"/>
      <c r="J6" s="16">
        <v>120000</v>
      </c>
      <c r="K6" s="22" t="s">
        <v>31</v>
      </c>
    </row>
    <row r="7" spans="2:11" ht="38" thickBot="1" x14ac:dyDescent="0.3">
      <c r="B7" s="71" t="s">
        <v>32</v>
      </c>
      <c r="C7" s="72"/>
      <c r="D7" s="72" t="s">
        <v>33</v>
      </c>
      <c r="E7" s="72"/>
      <c r="F7" s="72"/>
      <c r="G7" s="72" t="s">
        <v>34</v>
      </c>
      <c r="H7" s="72"/>
      <c r="I7" s="72"/>
      <c r="J7" s="18">
        <v>247</v>
      </c>
      <c r="K7" s="22" t="s">
        <v>35</v>
      </c>
    </row>
    <row r="8" spans="2:11" ht="38" thickBot="1" x14ac:dyDescent="0.3">
      <c r="B8" s="71" t="s">
        <v>36</v>
      </c>
      <c r="C8" s="72"/>
      <c r="D8" s="72" t="s">
        <v>36</v>
      </c>
      <c r="E8" s="72"/>
      <c r="F8" s="72"/>
      <c r="G8" s="72" t="s">
        <v>37</v>
      </c>
      <c r="H8" s="72"/>
      <c r="I8" s="72"/>
      <c r="J8" s="16">
        <v>12000</v>
      </c>
      <c r="K8" s="22" t="s">
        <v>38</v>
      </c>
    </row>
    <row r="9" spans="2:11" ht="38" thickBot="1" x14ac:dyDescent="0.3">
      <c r="B9" s="71" t="s">
        <v>36</v>
      </c>
      <c r="C9" s="72"/>
      <c r="D9" s="72" t="s">
        <v>36</v>
      </c>
      <c r="E9" s="72"/>
      <c r="F9" s="72"/>
      <c r="G9" s="72" t="s">
        <v>39</v>
      </c>
      <c r="H9" s="72"/>
      <c r="I9" s="72"/>
      <c r="J9" s="16">
        <v>108000</v>
      </c>
      <c r="K9" s="22" t="s">
        <v>40</v>
      </c>
    </row>
    <row r="10" spans="2:11" ht="38" thickBot="1" x14ac:dyDescent="0.3">
      <c r="B10" s="71" t="s">
        <v>36</v>
      </c>
      <c r="C10" s="72"/>
      <c r="D10" s="72" t="s">
        <v>36</v>
      </c>
      <c r="E10" s="72"/>
      <c r="F10" s="72"/>
      <c r="G10" s="72" t="s">
        <v>41</v>
      </c>
      <c r="H10" s="72"/>
      <c r="I10" s="72"/>
      <c r="J10" s="16">
        <v>169000</v>
      </c>
      <c r="K10" s="22" t="s">
        <v>42</v>
      </c>
    </row>
    <row r="11" spans="2:11" ht="38" thickBot="1" x14ac:dyDescent="0.3">
      <c r="B11" s="71" t="s">
        <v>43</v>
      </c>
      <c r="C11" s="72"/>
      <c r="D11" s="72" t="s">
        <v>43</v>
      </c>
      <c r="E11" s="72"/>
      <c r="F11" s="72"/>
      <c r="G11" s="72" t="s">
        <v>44</v>
      </c>
      <c r="H11" s="72"/>
      <c r="I11" s="72"/>
      <c r="J11" s="16">
        <v>169000</v>
      </c>
      <c r="K11" s="22" t="s">
        <v>45</v>
      </c>
    </row>
    <row r="12" spans="2:11" ht="38" thickBot="1" x14ac:dyDescent="0.3">
      <c r="B12" s="71" t="s">
        <v>46</v>
      </c>
      <c r="C12" s="72"/>
      <c r="D12" s="72" t="s">
        <v>46</v>
      </c>
      <c r="E12" s="72"/>
      <c r="F12" s="72"/>
      <c r="G12" s="72" t="s">
        <v>47</v>
      </c>
      <c r="H12" s="72"/>
      <c r="I12" s="72"/>
      <c r="J12" s="16">
        <v>120000</v>
      </c>
      <c r="K12" s="22" t="s">
        <v>48</v>
      </c>
    </row>
    <row r="13" spans="2:11" ht="38" thickBot="1" x14ac:dyDescent="0.3">
      <c r="B13" s="71" t="s">
        <v>49</v>
      </c>
      <c r="C13" s="72"/>
      <c r="D13" s="72" t="s">
        <v>49</v>
      </c>
      <c r="E13" s="72"/>
      <c r="F13" s="72"/>
      <c r="G13" s="72" t="s">
        <v>50</v>
      </c>
      <c r="H13" s="72"/>
      <c r="I13" s="72"/>
      <c r="J13" s="16">
        <v>120000</v>
      </c>
      <c r="K13" s="22" t="s">
        <v>51</v>
      </c>
    </row>
    <row r="14" spans="2:11" ht="38" thickBot="1" x14ac:dyDescent="0.3">
      <c r="B14" s="71" t="s">
        <v>52</v>
      </c>
      <c r="C14" s="72"/>
      <c r="D14" s="72" t="s">
        <v>53</v>
      </c>
      <c r="E14" s="72"/>
      <c r="F14" s="72"/>
      <c r="G14" s="72" t="s">
        <v>54</v>
      </c>
      <c r="H14" s="72"/>
      <c r="I14" s="72"/>
      <c r="J14" s="18">
        <v>226</v>
      </c>
      <c r="K14" s="22" t="s">
        <v>55</v>
      </c>
    </row>
    <row r="15" spans="2:11" ht="38" thickBot="1" x14ac:dyDescent="0.3">
      <c r="B15" s="71" t="s">
        <v>56</v>
      </c>
      <c r="C15" s="72"/>
      <c r="D15" s="72" t="s">
        <v>56</v>
      </c>
      <c r="E15" s="72"/>
      <c r="F15" s="72"/>
      <c r="G15" s="72" t="s">
        <v>57</v>
      </c>
      <c r="H15" s="72"/>
      <c r="I15" s="72"/>
      <c r="J15" s="16">
        <v>169000</v>
      </c>
      <c r="K15" s="22" t="s">
        <v>58</v>
      </c>
    </row>
    <row r="16" spans="2:11" ht="38" thickBot="1" x14ac:dyDescent="0.3">
      <c r="B16" s="71" t="s">
        <v>59</v>
      </c>
      <c r="C16" s="72"/>
      <c r="D16" s="72" t="s">
        <v>59</v>
      </c>
      <c r="E16" s="72"/>
      <c r="F16" s="72"/>
      <c r="G16" s="72" t="s">
        <v>60</v>
      </c>
      <c r="H16" s="72"/>
      <c r="I16" s="72"/>
      <c r="J16" s="16">
        <v>120000</v>
      </c>
      <c r="K16" s="22" t="s">
        <v>61</v>
      </c>
    </row>
    <row r="17" spans="2:11" ht="38" thickBot="1" x14ac:dyDescent="0.3">
      <c r="B17" s="71" t="s">
        <v>59</v>
      </c>
      <c r="C17" s="72"/>
      <c r="D17" s="72" t="s">
        <v>59</v>
      </c>
      <c r="E17" s="72"/>
      <c r="F17" s="72"/>
      <c r="G17" s="72" t="s">
        <v>62</v>
      </c>
      <c r="H17" s="72"/>
      <c r="I17" s="72"/>
      <c r="J17" s="16">
        <v>169000</v>
      </c>
      <c r="K17" s="22" t="s">
        <v>63</v>
      </c>
    </row>
    <row r="18" spans="2:11" ht="38" thickBot="1" x14ac:dyDescent="0.3">
      <c r="B18" s="71" t="s">
        <v>64</v>
      </c>
      <c r="C18" s="72"/>
      <c r="D18" s="72" t="s">
        <v>64</v>
      </c>
      <c r="E18" s="72"/>
      <c r="F18" s="72"/>
      <c r="G18" s="72" t="s">
        <v>65</v>
      </c>
      <c r="H18" s="72"/>
      <c r="I18" s="72"/>
      <c r="J18" s="16">
        <v>120000</v>
      </c>
      <c r="K18" s="22" t="s">
        <v>66</v>
      </c>
    </row>
    <row r="19" spans="2:11" ht="38" thickBot="1" x14ac:dyDescent="0.3">
      <c r="B19" s="71" t="s">
        <v>64</v>
      </c>
      <c r="C19" s="72"/>
      <c r="D19" s="72" t="s">
        <v>64</v>
      </c>
      <c r="E19" s="72"/>
      <c r="F19" s="72"/>
      <c r="G19" s="72" t="s">
        <v>67</v>
      </c>
      <c r="H19" s="72"/>
      <c r="I19" s="72"/>
      <c r="J19" s="16">
        <v>169000</v>
      </c>
      <c r="K19" s="22" t="s">
        <v>68</v>
      </c>
    </row>
    <row r="20" spans="2:11" ht="38" thickBot="1" x14ac:dyDescent="0.3">
      <c r="B20" s="71" t="s">
        <v>69</v>
      </c>
      <c r="C20" s="72"/>
      <c r="D20" s="72" t="s">
        <v>69</v>
      </c>
      <c r="E20" s="72"/>
      <c r="F20" s="72"/>
      <c r="G20" s="72" t="s">
        <v>70</v>
      </c>
      <c r="H20" s="72"/>
      <c r="I20" s="72"/>
      <c r="J20" s="16">
        <v>10210203</v>
      </c>
      <c r="K20" s="22" t="s">
        <v>71</v>
      </c>
    </row>
    <row r="21" spans="2:11" ht="38" thickBot="1" x14ac:dyDescent="0.3">
      <c r="B21" s="71" t="s">
        <v>69</v>
      </c>
      <c r="C21" s="72"/>
      <c r="D21" s="72" t="s">
        <v>69</v>
      </c>
      <c r="E21" s="72"/>
      <c r="F21" s="72"/>
      <c r="G21" s="72" t="s">
        <v>72</v>
      </c>
      <c r="H21" s="72"/>
      <c r="I21" s="72"/>
      <c r="J21" s="16">
        <v>121000</v>
      </c>
      <c r="K21" s="22" t="s">
        <v>73</v>
      </c>
    </row>
    <row r="22" spans="2:11" ht="38" thickBot="1" x14ac:dyDescent="0.3">
      <c r="B22" s="71" t="s">
        <v>69</v>
      </c>
      <c r="C22" s="72"/>
      <c r="D22" s="72" t="s">
        <v>69</v>
      </c>
      <c r="E22" s="72"/>
      <c r="F22" s="72"/>
      <c r="G22" s="72" t="s">
        <v>74</v>
      </c>
      <c r="H22" s="72"/>
      <c r="I22" s="72"/>
      <c r="J22" s="16">
        <v>425000</v>
      </c>
      <c r="K22" s="22" t="s">
        <v>75</v>
      </c>
    </row>
    <row r="23" spans="2:11" ht="38" thickBot="1" x14ac:dyDescent="0.3">
      <c r="B23" s="71" t="s">
        <v>76</v>
      </c>
      <c r="C23" s="72"/>
      <c r="D23" s="72" t="s">
        <v>76</v>
      </c>
      <c r="E23" s="72"/>
      <c r="F23" s="72"/>
      <c r="G23" s="72" t="s">
        <v>77</v>
      </c>
      <c r="H23" s="72"/>
      <c r="I23" s="72"/>
      <c r="J23" s="16">
        <v>290000</v>
      </c>
      <c r="K23" s="22" t="s">
        <v>78</v>
      </c>
    </row>
    <row r="24" spans="2:11" ht="38" thickBot="1" x14ac:dyDescent="0.3">
      <c r="B24" s="71" t="s">
        <v>76</v>
      </c>
      <c r="C24" s="72"/>
      <c r="D24" s="72" t="s">
        <v>76</v>
      </c>
      <c r="E24" s="72"/>
      <c r="F24" s="72"/>
      <c r="G24" s="72" t="s">
        <v>79</v>
      </c>
      <c r="H24" s="72"/>
      <c r="I24" s="72"/>
      <c r="J24" s="18">
        <v>1</v>
      </c>
      <c r="K24" s="22" t="s">
        <v>80</v>
      </c>
    </row>
    <row r="25" spans="2:11" ht="38" thickBot="1" x14ac:dyDescent="0.3">
      <c r="B25" s="71" t="s">
        <v>81</v>
      </c>
      <c r="C25" s="72"/>
      <c r="D25" s="72" t="s">
        <v>82</v>
      </c>
      <c r="E25" s="72"/>
      <c r="F25" s="72"/>
      <c r="G25" s="72" t="s">
        <v>83</v>
      </c>
      <c r="H25" s="72"/>
      <c r="I25" s="72"/>
      <c r="J25" s="18">
        <v>511</v>
      </c>
      <c r="K25" s="22" t="s">
        <v>84</v>
      </c>
    </row>
    <row r="26" spans="2:11" ht="38" thickBot="1" x14ac:dyDescent="0.3">
      <c r="B26" s="71" t="s">
        <v>81</v>
      </c>
      <c r="C26" s="72"/>
      <c r="D26" s="72" t="s">
        <v>81</v>
      </c>
      <c r="E26" s="72"/>
      <c r="F26" s="72"/>
      <c r="G26" s="72" t="s">
        <v>85</v>
      </c>
      <c r="H26" s="72"/>
      <c r="I26" s="72"/>
      <c r="J26" s="16">
        <v>169000</v>
      </c>
      <c r="K26" s="22" t="s">
        <v>86</v>
      </c>
    </row>
    <row r="27" spans="2:11" ht="38" thickBot="1" x14ac:dyDescent="0.3">
      <c r="B27" s="71" t="s">
        <v>87</v>
      </c>
      <c r="C27" s="72"/>
      <c r="D27" s="72" t="s">
        <v>87</v>
      </c>
      <c r="E27" s="72"/>
      <c r="F27" s="72"/>
      <c r="G27" s="72" t="s">
        <v>88</v>
      </c>
      <c r="H27" s="72"/>
      <c r="I27" s="72"/>
      <c r="J27" s="16">
        <v>62000</v>
      </c>
      <c r="K27" s="22" t="s">
        <v>89</v>
      </c>
    </row>
    <row r="28" spans="2:11" ht="38" thickBot="1" x14ac:dyDescent="0.3">
      <c r="B28" s="71" t="s">
        <v>90</v>
      </c>
      <c r="C28" s="72"/>
      <c r="D28" s="72" t="s">
        <v>90</v>
      </c>
      <c r="E28" s="72"/>
      <c r="F28" s="72"/>
      <c r="G28" s="72" t="s">
        <v>91</v>
      </c>
      <c r="H28" s="72"/>
      <c r="I28" s="72"/>
      <c r="J28" s="16">
        <v>55000</v>
      </c>
      <c r="K28" s="22" t="s">
        <v>92</v>
      </c>
    </row>
    <row r="29" spans="2:11" ht="38" thickBot="1" x14ac:dyDescent="0.3">
      <c r="B29" s="71" t="s">
        <v>93</v>
      </c>
      <c r="C29" s="72"/>
      <c r="D29" s="72" t="s">
        <v>93</v>
      </c>
      <c r="E29" s="72"/>
      <c r="F29" s="72"/>
      <c r="G29" s="72" t="s">
        <v>94</v>
      </c>
      <c r="H29" s="72"/>
      <c r="I29" s="72"/>
      <c r="J29" s="16">
        <v>120000</v>
      </c>
      <c r="K29" s="22" t="s">
        <v>95</v>
      </c>
    </row>
    <row r="30" spans="2:11" ht="38" thickBot="1" x14ac:dyDescent="0.3">
      <c r="B30" s="71" t="s">
        <v>96</v>
      </c>
      <c r="C30" s="72"/>
      <c r="D30" s="72" t="s">
        <v>96</v>
      </c>
      <c r="E30" s="72"/>
      <c r="F30" s="72"/>
      <c r="G30" s="72" t="s">
        <v>97</v>
      </c>
      <c r="H30" s="72"/>
      <c r="I30" s="72"/>
      <c r="J30" s="16">
        <v>55000</v>
      </c>
      <c r="K30" s="22" t="s">
        <v>98</v>
      </c>
    </row>
    <row r="31" spans="2:11" ht="38" thickBot="1" x14ac:dyDescent="0.3">
      <c r="B31" s="71" t="s">
        <v>99</v>
      </c>
      <c r="C31" s="72"/>
      <c r="D31" s="72" t="s">
        <v>99</v>
      </c>
      <c r="E31" s="72"/>
      <c r="F31" s="72"/>
      <c r="G31" s="72" t="s">
        <v>100</v>
      </c>
      <c r="H31" s="72"/>
      <c r="I31" s="72"/>
      <c r="J31" s="16">
        <v>49000</v>
      </c>
      <c r="K31" s="22" t="s">
        <v>101</v>
      </c>
    </row>
    <row r="32" spans="2:11" ht="38" thickBot="1" x14ac:dyDescent="0.3">
      <c r="B32" s="71" t="s">
        <v>102</v>
      </c>
      <c r="C32" s="72"/>
      <c r="D32" s="72" t="s">
        <v>102</v>
      </c>
      <c r="E32" s="72"/>
      <c r="F32" s="72"/>
      <c r="G32" s="72" t="s">
        <v>103</v>
      </c>
      <c r="H32" s="72"/>
      <c r="I32" s="72"/>
      <c r="J32" s="16">
        <v>55000</v>
      </c>
      <c r="K32" s="22" t="s">
        <v>104</v>
      </c>
    </row>
    <row r="33" spans="2:11" ht="38" thickBot="1" x14ac:dyDescent="0.3">
      <c r="B33" s="71" t="s">
        <v>105</v>
      </c>
      <c r="C33" s="72"/>
      <c r="D33" s="72" t="s">
        <v>105</v>
      </c>
      <c r="E33" s="72"/>
      <c r="F33" s="72"/>
      <c r="G33" s="72" t="s">
        <v>106</v>
      </c>
      <c r="H33" s="72"/>
      <c r="I33" s="72"/>
      <c r="J33" s="16">
        <v>49075</v>
      </c>
      <c r="K33" s="22" t="s">
        <v>107</v>
      </c>
    </row>
    <row r="34" spans="2:11" ht="38" thickBot="1" x14ac:dyDescent="0.3">
      <c r="B34" s="71" t="s">
        <v>105</v>
      </c>
      <c r="C34" s="72"/>
      <c r="D34" s="72" t="s">
        <v>108</v>
      </c>
      <c r="E34" s="72"/>
      <c r="F34" s="72"/>
      <c r="G34" s="72" t="s">
        <v>109</v>
      </c>
      <c r="H34" s="72"/>
      <c r="I34" s="72"/>
      <c r="J34" s="18">
        <v>395</v>
      </c>
      <c r="K34" s="22" t="s">
        <v>110</v>
      </c>
    </row>
    <row r="35" spans="2:11" ht="38" thickBot="1" x14ac:dyDescent="0.3">
      <c r="B35" s="71" t="s">
        <v>111</v>
      </c>
      <c r="C35" s="72"/>
      <c r="D35" s="72" t="s">
        <v>111</v>
      </c>
      <c r="E35" s="72"/>
      <c r="F35" s="72"/>
      <c r="G35" s="72" t="s">
        <v>112</v>
      </c>
      <c r="H35" s="72"/>
      <c r="I35" s="72"/>
      <c r="J35" s="16">
        <v>55000</v>
      </c>
      <c r="K35" s="22" t="s">
        <v>113</v>
      </c>
    </row>
    <row r="36" spans="2:11" ht="38" thickBot="1" x14ac:dyDescent="0.3">
      <c r="B36" s="71" t="s">
        <v>114</v>
      </c>
      <c r="C36" s="72"/>
      <c r="D36" s="72" t="s">
        <v>114</v>
      </c>
      <c r="E36" s="72"/>
      <c r="F36" s="72"/>
      <c r="G36" s="72" t="s">
        <v>115</v>
      </c>
      <c r="H36" s="72"/>
      <c r="I36" s="72"/>
      <c r="J36" s="16">
        <v>52400</v>
      </c>
      <c r="K36" s="22" t="s">
        <v>116</v>
      </c>
    </row>
    <row r="37" spans="2:11" ht="38" thickBot="1" x14ac:dyDescent="0.3">
      <c r="B37" s="71" t="s">
        <v>117</v>
      </c>
      <c r="C37" s="72"/>
      <c r="D37" s="72" t="s">
        <v>117</v>
      </c>
      <c r="E37" s="72"/>
      <c r="F37" s="72"/>
      <c r="G37" s="72" t="s">
        <v>118</v>
      </c>
      <c r="H37" s="72"/>
      <c r="I37" s="72"/>
      <c r="J37" s="16">
        <v>52400</v>
      </c>
      <c r="K37" s="22" t="s">
        <v>119</v>
      </c>
    </row>
    <row r="38" spans="2:11" ht="38" thickBot="1" x14ac:dyDescent="0.3">
      <c r="B38" s="71" t="s">
        <v>120</v>
      </c>
      <c r="C38" s="72"/>
      <c r="D38" s="72" t="s">
        <v>120</v>
      </c>
      <c r="E38" s="72"/>
      <c r="F38" s="72"/>
      <c r="G38" s="72" t="s">
        <v>121</v>
      </c>
      <c r="H38" s="72"/>
      <c r="I38" s="72"/>
      <c r="J38" s="16">
        <v>55000</v>
      </c>
      <c r="K38" s="22" t="s">
        <v>122</v>
      </c>
    </row>
    <row r="39" spans="2:11" ht="38" thickBot="1" x14ac:dyDescent="0.3">
      <c r="B39" s="71" t="s">
        <v>123</v>
      </c>
      <c r="C39" s="72"/>
      <c r="D39" s="72" t="s">
        <v>123</v>
      </c>
      <c r="E39" s="72"/>
      <c r="F39" s="72"/>
      <c r="G39" s="72" t="s">
        <v>124</v>
      </c>
      <c r="H39" s="72"/>
      <c r="I39" s="72"/>
      <c r="J39" s="16">
        <v>55000</v>
      </c>
      <c r="K39" s="22" t="s">
        <v>125</v>
      </c>
    </row>
    <row r="40" spans="2:11" ht="38" thickBot="1" x14ac:dyDescent="0.3">
      <c r="B40" s="71" t="s">
        <v>126</v>
      </c>
      <c r="C40" s="72"/>
      <c r="D40" s="72" t="s">
        <v>126</v>
      </c>
      <c r="E40" s="72"/>
      <c r="F40" s="72"/>
      <c r="G40" s="72" t="s">
        <v>127</v>
      </c>
      <c r="H40" s="72"/>
      <c r="I40" s="72"/>
      <c r="J40" s="16">
        <v>67000</v>
      </c>
      <c r="K40" s="22" t="s">
        <v>128</v>
      </c>
    </row>
    <row r="41" spans="2:11" ht="38" thickBot="1" x14ac:dyDescent="0.3">
      <c r="B41" s="71" t="s">
        <v>126</v>
      </c>
      <c r="C41" s="72"/>
      <c r="D41" s="72" t="s">
        <v>129</v>
      </c>
      <c r="E41" s="72"/>
      <c r="F41" s="72"/>
      <c r="G41" s="72" t="s">
        <v>130</v>
      </c>
      <c r="H41" s="72"/>
      <c r="I41" s="72"/>
      <c r="J41" s="18">
        <v>198</v>
      </c>
      <c r="K41" s="22" t="s">
        <v>131</v>
      </c>
    </row>
    <row r="42" spans="2:11" ht="38" thickBot="1" x14ac:dyDescent="0.3">
      <c r="B42" s="71" t="s">
        <v>132</v>
      </c>
      <c r="C42" s="72"/>
      <c r="D42" s="72" t="s">
        <v>132</v>
      </c>
      <c r="E42" s="72"/>
      <c r="F42" s="72"/>
      <c r="G42" s="72" t="s">
        <v>133</v>
      </c>
      <c r="H42" s="72"/>
      <c r="I42" s="72"/>
      <c r="J42" s="16">
        <v>659503</v>
      </c>
      <c r="K42" s="22" t="s">
        <v>134</v>
      </c>
    </row>
    <row r="43" spans="2:11" ht="38" thickBot="1" x14ac:dyDescent="0.3">
      <c r="B43" s="71" t="s">
        <v>135</v>
      </c>
      <c r="C43" s="72"/>
      <c r="D43" s="72" t="s">
        <v>135</v>
      </c>
      <c r="E43" s="72"/>
      <c r="F43" s="72"/>
      <c r="G43" s="72" t="s">
        <v>133</v>
      </c>
      <c r="H43" s="72"/>
      <c r="I43" s="72"/>
      <c r="J43" s="16">
        <v>857864.24</v>
      </c>
      <c r="K43" s="22" t="s">
        <v>136</v>
      </c>
    </row>
    <row r="44" spans="2:11" ht="38" thickBot="1" x14ac:dyDescent="0.3">
      <c r="B44" s="71" t="s">
        <v>137</v>
      </c>
      <c r="C44" s="72"/>
      <c r="D44" s="72" t="s">
        <v>137</v>
      </c>
      <c r="E44" s="72"/>
      <c r="F44" s="72"/>
      <c r="G44" s="72" t="s">
        <v>138</v>
      </c>
      <c r="H44" s="72"/>
      <c r="I44" s="72"/>
      <c r="J44" s="16">
        <v>25000</v>
      </c>
      <c r="K44" s="22" t="s">
        <v>139</v>
      </c>
    </row>
    <row r="45" spans="2:11" ht="38" thickBot="1" x14ac:dyDescent="0.3">
      <c r="B45" s="71" t="s">
        <v>140</v>
      </c>
      <c r="C45" s="72"/>
      <c r="D45" s="72" t="s">
        <v>140</v>
      </c>
      <c r="E45" s="72"/>
      <c r="F45" s="72"/>
      <c r="G45" s="72" t="s">
        <v>141</v>
      </c>
      <c r="H45" s="72"/>
      <c r="I45" s="72"/>
      <c r="J45" s="16">
        <v>55000</v>
      </c>
      <c r="K45" s="22" t="s">
        <v>142</v>
      </c>
    </row>
    <row r="46" spans="2:11" ht="38" thickBot="1" x14ac:dyDescent="0.3">
      <c r="B46" s="71" t="s">
        <v>143</v>
      </c>
      <c r="C46" s="72"/>
      <c r="D46" s="72" t="s">
        <v>143</v>
      </c>
      <c r="E46" s="72"/>
      <c r="F46" s="72"/>
      <c r="G46" s="72" t="s">
        <v>144</v>
      </c>
      <c r="H46" s="72"/>
      <c r="I46" s="72"/>
      <c r="J46" s="16">
        <v>55000</v>
      </c>
      <c r="K46" s="22" t="s">
        <v>145</v>
      </c>
    </row>
    <row r="47" spans="2:11" ht="38" thickBot="1" x14ac:dyDescent="0.3">
      <c r="B47" s="71" t="s">
        <v>146</v>
      </c>
      <c r="C47" s="72"/>
      <c r="D47" s="72" t="s">
        <v>146</v>
      </c>
      <c r="E47" s="72"/>
      <c r="F47" s="72"/>
      <c r="G47" s="72" t="s">
        <v>147</v>
      </c>
      <c r="H47" s="72"/>
      <c r="I47" s="72"/>
      <c r="J47" s="16">
        <v>45000</v>
      </c>
      <c r="K47" s="22" t="s">
        <v>148</v>
      </c>
    </row>
    <row r="48" spans="2:11" ht="38" thickBot="1" x14ac:dyDescent="0.3">
      <c r="B48" s="71" t="s">
        <v>149</v>
      </c>
      <c r="C48" s="72"/>
      <c r="D48" s="72" t="s">
        <v>149</v>
      </c>
      <c r="E48" s="72"/>
      <c r="F48" s="72"/>
      <c r="G48" s="72" t="s">
        <v>150</v>
      </c>
      <c r="H48" s="72"/>
      <c r="I48" s="72"/>
      <c r="J48" s="16">
        <v>55000</v>
      </c>
      <c r="K48" s="22" t="s">
        <v>151</v>
      </c>
    </row>
    <row r="49" spans="2:11" ht="38" thickBot="1" x14ac:dyDescent="0.3">
      <c r="B49" s="71" t="s">
        <v>152</v>
      </c>
      <c r="C49" s="72"/>
      <c r="D49" s="72" t="s">
        <v>153</v>
      </c>
      <c r="E49" s="72"/>
      <c r="F49" s="72"/>
      <c r="G49" s="72" t="s">
        <v>154</v>
      </c>
      <c r="H49" s="72"/>
      <c r="I49" s="72"/>
      <c r="J49" s="18">
        <v>235</v>
      </c>
      <c r="K49" s="22" t="s">
        <v>155</v>
      </c>
    </row>
    <row r="50" spans="2:11" ht="38" thickBot="1" x14ac:dyDescent="0.3">
      <c r="B50" s="71" t="s">
        <v>156</v>
      </c>
      <c r="C50" s="72"/>
      <c r="D50" s="72" t="s">
        <v>156</v>
      </c>
      <c r="E50" s="72"/>
      <c r="F50" s="72"/>
      <c r="G50" s="72" t="s">
        <v>157</v>
      </c>
      <c r="H50" s="72"/>
      <c r="I50" s="72"/>
      <c r="J50" s="16">
        <v>45000</v>
      </c>
      <c r="K50" s="22" t="s">
        <v>158</v>
      </c>
    </row>
    <row r="51" spans="2:11" ht="38" thickBot="1" x14ac:dyDescent="0.3">
      <c r="B51" s="71" t="s">
        <v>159</v>
      </c>
      <c r="C51" s="72"/>
      <c r="D51" s="72" t="s">
        <v>159</v>
      </c>
      <c r="E51" s="72"/>
      <c r="F51" s="72"/>
      <c r="G51" s="72" t="s">
        <v>160</v>
      </c>
      <c r="H51" s="72"/>
      <c r="I51" s="72"/>
      <c r="J51" s="16">
        <v>45000</v>
      </c>
      <c r="K51" s="22" t="s">
        <v>161</v>
      </c>
    </row>
    <row r="52" spans="2:11" ht="38" thickBot="1" x14ac:dyDescent="0.3">
      <c r="B52" s="71" t="s">
        <v>162</v>
      </c>
      <c r="C52" s="72"/>
      <c r="D52" s="72" t="s">
        <v>162</v>
      </c>
      <c r="E52" s="72"/>
      <c r="F52" s="72"/>
      <c r="G52" s="72" t="s">
        <v>163</v>
      </c>
      <c r="H52" s="72"/>
      <c r="I52" s="72"/>
      <c r="J52" s="16">
        <v>36000</v>
      </c>
      <c r="K52" s="22" t="s">
        <v>164</v>
      </c>
    </row>
    <row r="53" spans="2:11" ht="38" thickBot="1" x14ac:dyDescent="0.3">
      <c r="B53" s="71" t="s">
        <v>165</v>
      </c>
      <c r="C53" s="72"/>
      <c r="D53" s="72" t="s">
        <v>165</v>
      </c>
      <c r="E53" s="72"/>
      <c r="F53" s="72"/>
      <c r="G53" s="72" t="s">
        <v>166</v>
      </c>
      <c r="H53" s="72"/>
      <c r="I53" s="72"/>
      <c r="J53" s="16">
        <v>55000</v>
      </c>
      <c r="K53" s="22" t="s">
        <v>167</v>
      </c>
    </row>
    <row r="54" spans="2:11" ht="38" thickBot="1" x14ac:dyDescent="0.3">
      <c r="B54" s="71" t="s">
        <v>165</v>
      </c>
      <c r="C54" s="72"/>
      <c r="D54" s="72" t="s">
        <v>165</v>
      </c>
      <c r="E54" s="72"/>
      <c r="F54" s="72"/>
      <c r="G54" s="72" t="s">
        <v>168</v>
      </c>
      <c r="H54" s="72"/>
      <c r="I54" s="72"/>
      <c r="J54" s="16">
        <v>45000</v>
      </c>
      <c r="K54" s="22" t="s">
        <v>169</v>
      </c>
    </row>
    <row r="55" spans="2:11" ht="38" thickBot="1" x14ac:dyDescent="0.3">
      <c r="B55" s="71" t="s">
        <v>170</v>
      </c>
      <c r="C55" s="72"/>
      <c r="D55" s="72" t="s">
        <v>170</v>
      </c>
      <c r="E55" s="72"/>
      <c r="F55" s="72"/>
      <c r="G55" s="72" t="s">
        <v>171</v>
      </c>
      <c r="H55" s="72"/>
      <c r="I55" s="72"/>
      <c r="J55" s="16">
        <v>55000</v>
      </c>
      <c r="K55" s="22" t="s">
        <v>172</v>
      </c>
    </row>
    <row r="56" spans="2:11" ht="38" thickBot="1" x14ac:dyDescent="0.3">
      <c r="B56" s="71" t="s">
        <v>173</v>
      </c>
      <c r="C56" s="72"/>
      <c r="D56" s="72" t="s">
        <v>173</v>
      </c>
      <c r="E56" s="72"/>
      <c r="F56" s="72"/>
      <c r="G56" s="72" t="s">
        <v>174</v>
      </c>
      <c r="H56" s="72"/>
      <c r="I56" s="72"/>
      <c r="J56" s="16">
        <v>45000</v>
      </c>
      <c r="K56" s="22" t="s">
        <v>175</v>
      </c>
    </row>
    <row r="57" spans="2:11" ht="38" thickBot="1" x14ac:dyDescent="0.3">
      <c r="B57" s="71" t="s">
        <v>176</v>
      </c>
      <c r="C57" s="72"/>
      <c r="D57" s="72" t="s">
        <v>177</v>
      </c>
      <c r="E57" s="72"/>
      <c r="F57" s="72"/>
      <c r="G57" s="72" t="s">
        <v>178</v>
      </c>
      <c r="H57" s="72"/>
      <c r="I57" s="72"/>
      <c r="J57" s="18">
        <v>171</v>
      </c>
      <c r="K57" s="22" t="s">
        <v>179</v>
      </c>
    </row>
    <row r="58" spans="2:11" ht="38" thickBot="1" x14ac:dyDescent="0.3">
      <c r="B58" s="71" t="s">
        <v>180</v>
      </c>
      <c r="C58" s="72"/>
      <c r="D58" s="72" t="s">
        <v>180</v>
      </c>
      <c r="E58" s="72"/>
      <c r="F58" s="72"/>
      <c r="G58" s="72" t="s">
        <v>181</v>
      </c>
      <c r="H58" s="72"/>
      <c r="I58" s="72"/>
      <c r="J58" s="16">
        <v>13000</v>
      </c>
      <c r="K58" s="22" t="s">
        <v>182</v>
      </c>
    </row>
    <row r="59" spans="2:11" ht="38" thickBot="1" x14ac:dyDescent="0.3">
      <c r="B59" s="71" t="s">
        <v>183</v>
      </c>
      <c r="C59" s="72"/>
      <c r="D59" s="72" t="s">
        <v>183</v>
      </c>
      <c r="E59" s="72"/>
      <c r="F59" s="72"/>
      <c r="G59" s="72" t="s">
        <v>184</v>
      </c>
      <c r="H59" s="72"/>
      <c r="I59" s="72"/>
      <c r="J59" s="16">
        <v>5000</v>
      </c>
      <c r="K59" s="22" t="s">
        <v>185</v>
      </c>
    </row>
    <row r="60" spans="2:11" ht="38" thickBot="1" x14ac:dyDescent="0.3">
      <c r="B60" s="71" t="s">
        <v>183</v>
      </c>
      <c r="C60" s="72"/>
      <c r="D60" s="72" t="s">
        <v>183</v>
      </c>
      <c r="E60" s="72"/>
      <c r="F60" s="72"/>
      <c r="G60" s="72" t="s">
        <v>186</v>
      </c>
      <c r="H60" s="72"/>
      <c r="I60" s="72"/>
      <c r="J60" s="16">
        <v>5000</v>
      </c>
      <c r="K60" s="22" t="s">
        <v>187</v>
      </c>
    </row>
    <row r="61" spans="2:11" ht="38" thickBot="1" x14ac:dyDescent="0.3">
      <c r="B61" s="71" t="s">
        <v>183</v>
      </c>
      <c r="C61" s="72"/>
      <c r="D61" s="72" t="s">
        <v>183</v>
      </c>
      <c r="E61" s="72"/>
      <c r="F61" s="72"/>
      <c r="G61" s="72" t="s">
        <v>188</v>
      </c>
      <c r="H61" s="72"/>
      <c r="I61" s="72"/>
      <c r="J61" s="16">
        <v>20000</v>
      </c>
      <c r="K61" s="22" t="s">
        <v>189</v>
      </c>
    </row>
    <row r="62" spans="2:11" ht="38" thickBot="1" x14ac:dyDescent="0.3">
      <c r="B62" s="71" t="s">
        <v>190</v>
      </c>
      <c r="C62" s="72"/>
      <c r="D62" s="72" t="s">
        <v>190</v>
      </c>
      <c r="E62" s="72"/>
      <c r="F62" s="72"/>
      <c r="G62" s="72" t="s">
        <v>191</v>
      </c>
      <c r="H62" s="72"/>
      <c r="I62" s="72"/>
      <c r="J62" s="16">
        <v>51311</v>
      </c>
      <c r="K62" s="22" t="s">
        <v>192</v>
      </c>
    </row>
    <row r="63" spans="2:11" ht="38" thickBot="1" x14ac:dyDescent="0.3">
      <c r="B63" s="71" t="s">
        <v>193</v>
      </c>
      <c r="C63" s="72"/>
      <c r="D63" s="72" t="s">
        <v>193</v>
      </c>
      <c r="E63" s="72"/>
      <c r="F63" s="72"/>
      <c r="G63" s="72" t="s">
        <v>194</v>
      </c>
      <c r="H63" s="72"/>
      <c r="I63" s="72"/>
      <c r="J63" s="16">
        <v>45000</v>
      </c>
      <c r="K63" s="22" t="s">
        <v>195</v>
      </c>
    </row>
    <row r="64" spans="2:11" ht="38" thickBot="1" x14ac:dyDescent="0.3">
      <c r="B64" s="71" t="s">
        <v>196</v>
      </c>
      <c r="C64" s="72"/>
      <c r="D64" s="72" t="s">
        <v>196</v>
      </c>
      <c r="E64" s="72"/>
      <c r="F64" s="72"/>
      <c r="G64" s="72" t="s">
        <v>197</v>
      </c>
      <c r="H64" s="72"/>
      <c r="I64" s="72"/>
      <c r="J64" s="16">
        <v>51311</v>
      </c>
      <c r="K64" s="22" t="s">
        <v>198</v>
      </c>
    </row>
    <row r="65" spans="2:11" ht="38" thickBot="1" x14ac:dyDescent="0.3">
      <c r="B65" s="71" t="s">
        <v>199</v>
      </c>
      <c r="C65" s="72"/>
      <c r="D65" s="72" t="s">
        <v>199</v>
      </c>
      <c r="E65" s="72"/>
      <c r="F65" s="72"/>
      <c r="G65" s="72" t="s">
        <v>133</v>
      </c>
      <c r="H65" s="72"/>
      <c r="I65" s="72"/>
      <c r="J65" s="16">
        <v>575286</v>
      </c>
      <c r="K65" s="22" t="s">
        <v>200</v>
      </c>
    </row>
    <row r="66" spans="2:11" ht="38" thickBot="1" x14ac:dyDescent="0.3">
      <c r="B66" s="71" t="s">
        <v>201</v>
      </c>
      <c r="C66" s="72"/>
      <c r="D66" s="72" t="s">
        <v>201</v>
      </c>
      <c r="E66" s="72"/>
      <c r="F66" s="72"/>
      <c r="G66" s="72" t="s">
        <v>202</v>
      </c>
      <c r="H66" s="72"/>
      <c r="I66" s="72"/>
      <c r="J66" s="16">
        <v>100000</v>
      </c>
      <c r="K66" s="22" t="s">
        <v>203</v>
      </c>
    </row>
    <row r="67" spans="2:11" ht="38" thickBot="1" x14ac:dyDescent="0.3">
      <c r="B67" s="71" t="s">
        <v>201</v>
      </c>
      <c r="C67" s="72"/>
      <c r="D67" s="72" t="s">
        <v>201</v>
      </c>
      <c r="E67" s="72"/>
      <c r="F67" s="72"/>
      <c r="G67" s="72" t="s">
        <v>204</v>
      </c>
      <c r="H67" s="72"/>
      <c r="I67" s="72"/>
      <c r="J67" s="16">
        <v>100000</v>
      </c>
      <c r="K67" s="22" t="s">
        <v>205</v>
      </c>
    </row>
    <row r="68" spans="2:11" ht="38" thickBot="1" x14ac:dyDescent="0.3">
      <c r="B68" s="71" t="s">
        <v>206</v>
      </c>
      <c r="C68" s="72"/>
      <c r="D68" s="72" t="s">
        <v>206</v>
      </c>
      <c r="E68" s="72"/>
      <c r="F68" s="72"/>
      <c r="G68" s="72" t="s">
        <v>207</v>
      </c>
      <c r="H68" s="72"/>
      <c r="I68" s="72"/>
      <c r="J68" s="16">
        <v>45000</v>
      </c>
      <c r="K68" s="22" t="s">
        <v>208</v>
      </c>
    </row>
    <row r="69" spans="2:11" ht="38" thickBot="1" x14ac:dyDescent="0.3">
      <c r="B69" s="71" t="s">
        <v>209</v>
      </c>
      <c r="C69" s="72"/>
      <c r="D69" s="72" t="s">
        <v>209</v>
      </c>
      <c r="E69" s="72"/>
      <c r="F69" s="72"/>
      <c r="G69" s="72" t="s">
        <v>210</v>
      </c>
      <c r="H69" s="72"/>
      <c r="I69" s="72"/>
      <c r="J69" s="16">
        <v>51311</v>
      </c>
      <c r="K69" s="22" t="s">
        <v>211</v>
      </c>
    </row>
    <row r="70" spans="2:11" ht="38" thickBot="1" x14ac:dyDescent="0.3">
      <c r="B70" s="71" t="s">
        <v>212</v>
      </c>
      <c r="C70" s="72"/>
      <c r="D70" s="72" t="s">
        <v>213</v>
      </c>
      <c r="E70" s="72"/>
      <c r="F70" s="72"/>
      <c r="G70" s="72" t="s">
        <v>214</v>
      </c>
      <c r="H70" s="72"/>
      <c r="I70" s="72"/>
      <c r="J70" s="18">
        <v>342</v>
      </c>
      <c r="K70" s="22" t="s">
        <v>215</v>
      </c>
    </row>
    <row r="71" spans="2:11" ht="38" thickBot="1" x14ac:dyDescent="0.3">
      <c r="B71" s="71" t="s">
        <v>216</v>
      </c>
      <c r="C71" s="72"/>
      <c r="D71" s="72" t="s">
        <v>216</v>
      </c>
      <c r="E71" s="72"/>
      <c r="F71" s="72"/>
      <c r="G71" s="72" t="s">
        <v>133</v>
      </c>
      <c r="H71" s="72"/>
      <c r="I71" s="72"/>
      <c r="J71" s="16">
        <v>369504</v>
      </c>
      <c r="K71" s="22" t="s">
        <v>217</v>
      </c>
    </row>
    <row r="72" spans="2:11" ht="38" thickBot="1" x14ac:dyDescent="0.3">
      <c r="B72" s="71" t="s">
        <v>218</v>
      </c>
      <c r="C72" s="72"/>
      <c r="D72" s="72" t="s">
        <v>218</v>
      </c>
      <c r="E72" s="72"/>
      <c r="F72" s="72"/>
      <c r="G72" s="72" t="s">
        <v>219</v>
      </c>
      <c r="H72" s="72"/>
      <c r="I72" s="72"/>
      <c r="J72" s="16">
        <v>274000</v>
      </c>
      <c r="K72" s="22" t="s">
        <v>220</v>
      </c>
    </row>
    <row r="73" spans="2:11" ht="38" thickBot="1" x14ac:dyDescent="0.3">
      <c r="B73" s="71" t="s">
        <v>221</v>
      </c>
      <c r="C73" s="72"/>
      <c r="D73" s="72" t="s">
        <v>221</v>
      </c>
      <c r="E73" s="72"/>
      <c r="F73" s="72"/>
      <c r="G73" s="72" t="s">
        <v>222</v>
      </c>
      <c r="H73" s="72"/>
      <c r="I73" s="72"/>
      <c r="J73" s="16">
        <v>110000</v>
      </c>
      <c r="K73" s="22" t="s">
        <v>223</v>
      </c>
    </row>
    <row r="74" spans="2:11" ht="38" thickBot="1" x14ac:dyDescent="0.3">
      <c r="B74" s="71" t="s">
        <v>224</v>
      </c>
      <c r="C74" s="72"/>
      <c r="D74" s="72" t="s">
        <v>224</v>
      </c>
      <c r="E74" s="72"/>
      <c r="F74" s="72"/>
      <c r="G74" s="72" t="s">
        <v>225</v>
      </c>
      <c r="H74" s="72"/>
      <c r="I74" s="72"/>
      <c r="J74" s="16">
        <v>45000</v>
      </c>
      <c r="K74" s="22" t="s">
        <v>226</v>
      </c>
    </row>
    <row r="75" spans="2:11" ht="38" thickBot="1" x14ac:dyDescent="0.3">
      <c r="B75" s="71" t="s">
        <v>227</v>
      </c>
      <c r="C75" s="72"/>
      <c r="D75" s="72" t="s">
        <v>227</v>
      </c>
      <c r="E75" s="72"/>
      <c r="F75" s="72"/>
      <c r="G75" s="72" t="s">
        <v>228</v>
      </c>
      <c r="H75" s="72"/>
      <c r="I75" s="72"/>
      <c r="J75" s="16">
        <v>51311</v>
      </c>
      <c r="K75" s="22" t="s">
        <v>229</v>
      </c>
    </row>
    <row r="76" spans="2:11" ht="38" thickBot="1" x14ac:dyDescent="0.3">
      <c r="B76" s="71" t="s">
        <v>230</v>
      </c>
      <c r="C76" s="72"/>
      <c r="D76" s="72" t="s">
        <v>230</v>
      </c>
      <c r="E76" s="72"/>
      <c r="F76" s="72"/>
      <c r="G76" s="72" t="s">
        <v>231</v>
      </c>
      <c r="H76" s="72"/>
      <c r="I76" s="72"/>
      <c r="J76" s="16">
        <v>45000</v>
      </c>
      <c r="K76" s="22" t="s">
        <v>232</v>
      </c>
    </row>
    <row r="77" spans="2:11" ht="38" thickBot="1" x14ac:dyDescent="0.3">
      <c r="B77" s="71" t="s">
        <v>233</v>
      </c>
      <c r="C77" s="72"/>
      <c r="D77" s="72" t="s">
        <v>233</v>
      </c>
      <c r="E77" s="72"/>
      <c r="F77" s="72"/>
      <c r="G77" s="72" t="s">
        <v>234</v>
      </c>
      <c r="H77" s="72"/>
      <c r="I77" s="72"/>
      <c r="J77" s="16">
        <v>51311</v>
      </c>
      <c r="K77" s="22" t="s">
        <v>235</v>
      </c>
    </row>
    <row r="78" spans="2:11" ht="38" thickBot="1" x14ac:dyDescent="0.3">
      <c r="B78" s="71" t="s">
        <v>236</v>
      </c>
      <c r="C78" s="72"/>
      <c r="D78" s="72" t="s">
        <v>236</v>
      </c>
      <c r="E78" s="72"/>
      <c r="F78" s="72"/>
      <c r="G78" s="72" t="s">
        <v>133</v>
      </c>
      <c r="H78" s="72"/>
      <c r="I78" s="72"/>
      <c r="J78" s="16">
        <v>762600</v>
      </c>
      <c r="K78" s="22" t="s">
        <v>237</v>
      </c>
    </row>
    <row r="79" spans="2:11" ht="38" thickBot="1" x14ac:dyDescent="0.3">
      <c r="B79" s="71" t="s">
        <v>238</v>
      </c>
      <c r="C79" s="72"/>
      <c r="D79" s="72" t="s">
        <v>238</v>
      </c>
      <c r="E79" s="72"/>
      <c r="F79" s="72"/>
      <c r="G79" s="72" t="s">
        <v>239</v>
      </c>
      <c r="H79" s="72"/>
      <c r="I79" s="72"/>
      <c r="J79" s="16">
        <v>87000</v>
      </c>
      <c r="K79" s="22" t="s">
        <v>240</v>
      </c>
    </row>
    <row r="80" spans="2:11" ht="38" thickBot="1" x14ac:dyDescent="0.3">
      <c r="B80" s="71" t="s">
        <v>241</v>
      </c>
      <c r="C80" s="72"/>
      <c r="D80" s="72" t="s">
        <v>241</v>
      </c>
      <c r="E80" s="72"/>
      <c r="F80" s="72"/>
      <c r="G80" s="72" t="s">
        <v>242</v>
      </c>
      <c r="H80" s="72"/>
      <c r="I80" s="72"/>
      <c r="J80" s="16">
        <v>52000</v>
      </c>
      <c r="K80" s="22" t="s">
        <v>243</v>
      </c>
    </row>
    <row r="81" spans="2:11" ht="38" thickBot="1" x14ac:dyDescent="0.3">
      <c r="B81" s="71" t="s">
        <v>244</v>
      </c>
      <c r="C81" s="72"/>
      <c r="D81" s="72" t="s">
        <v>244</v>
      </c>
      <c r="E81" s="72"/>
      <c r="F81" s="72"/>
      <c r="G81" s="72" t="s">
        <v>245</v>
      </c>
      <c r="H81" s="72"/>
      <c r="I81" s="72"/>
      <c r="J81" s="16">
        <v>60000</v>
      </c>
      <c r="K81" s="22" t="s">
        <v>246</v>
      </c>
    </row>
    <row r="82" spans="2:11" ht="38" thickBot="1" x14ac:dyDescent="0.3">
      <c r="B82" s="71" t="s">
        <v>247</v>
      </c>
      <c r="C82" s="72"/>
      <c r="D82" s="72" t="s">
        <v>247</v>
      </c>
      <c r="E82" s="72"/>
      <c r="F82" s="72"/>
      <c r="G82" s="72" t="s">
        <v>248</v>
      </c>
      <c r="H82" s="72"/>
      <c r="I82" s="72"/>
      <c r="J82" s="16">
        <v>45000</v>
      </c>
      <c r="K82" s="22" t="s">
        <v>249</v>
      </c>
    </row>
    <row r="83" spans="2:11" ht="38" thickBot="1" x14ac:dyDescent="0.3">
      <c r="B83" s="71" t="s">
        <v>250</v>
      </c>
      <c r="C83" s="72"/>
      <c r="D83" s="72" t="s">
        <v>250</v>
      </c>
      <c r="E83" s="72"/>
      <c r="F83" s="72"/>
      <c r="G83" s="72" t="s">
        <v>251</v>
      </c>
      <c r="H83" s="72"/>
      <c r="I83" s="72"/>
      <c r="J83" s="16">
        <v>51311</v>
      </c>
      <c r="K83" s="22" t="s">
        <v>252</v>
      </c>
    </row>
    <row r="84" spans="2:11" ht="38" thickBot="1" x14ac:dyDescent="0.3">
      <c r="B84" s="71" t="s">
        <v>253</v>
      </c>
      <c r="C84" s="72"/>
      <c r="D84" s="72" t="s">
        <v>254</v>
      </c>
      <c r="E84" s="72"/>
      <c r="F84" s="72"/>
      <c r="G84" s="72" t="s">
        <v>255</v>
      </c>
      <c r="H84" s="72"/>
      <c r="I84" s="72"/>
      <c r="J84" s="18">
        <v>326</v>
      </c>
      <c r="K84" s="22" t="s">
        <v>256</v>
      </c>
    </row>
    <row r="85" spans="2:11" ht="38" thickBot="1" x14ac:dyDescent="0.3">
      <c r="B85" s="71" t="s">
        <v>257</v>
      </c>
      <c r="C85" s="72"/>
      <c r="D85" s="72" t="s">
        <v>257</v>
      </c>
      <c r="E85" s="72"/>
      <c r="F85" s="72"/>
      <c r="G85" s="72" t="s">
        <v>133</v>
      </c>
      <c r="H85" s="72"/>
      <c r="I85" s="72"/>
      <c r="J85" s="16">
        <v>295000</v>
      </c>
      <c r="K85" s="22" t="s">
        <v>258</v>
      </c>
    </row>
    <row r="86" spans="2:11" ht="38" thickBot="1" x14ac:dyDescent="0.3">
      <c r="B86" s="71" t="s">
        <v>259</v>
      </c>
      <c r="C86" s="72"/>
      <c r="D86" s="72" t="s">
        <v>259</v>
      </c>
      <c r="E86" s="72"/>
      <c r="F86" s="72"/>
      <c r="G86" s="72" t="s">
        <v>260</v>
      </c>
      <c r="H86" s="72"/>
      <c r="I86" s="72"/>
      <c r="J86" s="16">
        <v>32000</v>
      </c>
      <c r="K86" s="22" t="s">
        <v>261</v>
      </c>
    </row>
    <row r="87" spans="2:11" ht="38" thickBot="1" x14ac:dyDescent="0.3">
      <c r="B87" s="71" t="s">
        <v>262</v>
      </c>
      <c r="C87" s="72"/>
      <c r="D87" s="72" t="s">
        <v>262</v>
      </c>
      <c r="E87" s="72"/>
      <c r="F87" s="72"/>
      <c r="G87" s="72" t="s">
        <v>263</v>
      </c>
      <c r="H87" s="72"/>
      <c r="I87" s="72"/>
      <c r="J87" s="16">
        <v>180000</v>
      </c>
      <c r="K87" s="22" t="s">
        <v>264</v>
      </c>
    </row>
    <row r="88" spans="2:11" ht="38" thickBot="1" x14ac:dyDescent="0.3">
      <c r="B88" s="71" t="s">
        <v>262</v>
      </c>
      <c r="C88" s="72"/>
      <c r="D88" s="72" t="s">
        <v>262</v>
      </c>
      <c r="E88" s="72"/>
      <c r="F88" s="72"/>
      <c r="G88" s="72" t="s">
        <v>265</v>
      </c>
      <c r="H88" s="72"/>
      <c r="I88" s="72"/>
      <c r="J88" s="16">
        <v>100000</v>
      </c>
      <c r="K88" s="22" t="s">
        <v>266</v>
      </c>
    </row>
    <row r="89" spans="2:11" ht="38" thickBot="1" x14ac:dyDescent="0.3">
      <c r="B89" s="71" t="s">
        <v>267</v>
      </c>
      <c r="C89" s="72"/>
      <c r="D89" s="72" t="s">
        <v>267</v>
      </c>
      <c r="E89" s="72"/>
      <c r="F89" s="72"/>
      <c r="G89" s="72" t="s">
        <v>268</v>
      </c>
      <c r="H89" s="72"/>
      <c r="I89" s="72"/>
      <c r="J89" s="16">
        <v>150000</v>
      </c>
      <c r="K89" s="22" t="s">
        <v>269</v>
      </c>
    </row>
    <row r="90" spans="2:11" ht="38" thickBot="1" x14ac:dyDescent="0.3">
      <c r="B90" s="71" t="s">
        <v>270</v>
      </c>
      <c r="C90" s="72"/>
      <c r="D90" s="72" t="s">
        <v>270</v>
      </c>
      <c r="E90" s="72"/>
      <c r="F90" s="72"/>
      <c r="G90" s="72" t="s">
        <v>271</v>
      </c>
      <c r="H90" s="72"/>
      <c r="I90" s="72"/>
      <c r="J90" s="16">
        <v>30000</v>
      </c>
      <c r="K90" s="22" t="s">
        <v>272</v>
      </c>
    </row>
    <row r="91" spans="2:11" ht="38" thickBot="1" x14ac:dyDescent="0.3">
      <c r="B91" s="71" t="s">
        <v>270</v>
      </c>
      <c r="C91" s="72"/>
      <c r="D91" s="72" t="s">
        <v>270</v>
      </c>
      <c r="E91" s="72"/>
      <c r="F91" s="72"/>
      <c r="G91" s="72" t="s">
        <v>273</v>
      </c>
      <c r="H91" s="72"/>
      <c r="I91" s="72"/>
      <c r="J91" s="18">
        <v>11</v>
      </c>
      <c r="K91" s="22" t="s">
        <v>274</v>
      </c>
    </row>
    <row r="92" spans="2:11" ht="38" thickBot="1" x14ac:dyDescent="0.3">
      <c r="B92" s="71" t="s">
        <v>275</v>
      </c>
      <c r="C92" s="72"/>
      <c r="D92" s="72" t="s">
        <v>275</v>
      </c>
      <c r="E92" s="72"/>
      <c r="F92" s="72"/>
      <c r="G92" s="72" t="s">
        <v>276</v>
      </c>
      <c r="H92" s="72"/>
      <c r="I92" s="72"/>
      <c r="J92" s="16">
        <v>51311</v>
      </c>
      <c r="K92" s="22" t="s">
        <v>277</v>
      </c>
    </row>
    <row r="93" spans="2:11" ht="38" thickBot="1" x14ac:dyDescent="0.3">
      <c r="B93" s="71" t="s">
        <v>278</v>
      </c>
      <c r="C93" s="72"/>
      <c r="D93" s="72" t="s">
        <v>278</v>
      </c>
      <c r="E93" s="72"/>
      <c r="F93" s="72"/>
      <c r="G93" s="72" t="s">
        <v>133</v>
      </c>
      <c r="H93" s="72"/>
      <c r="I93" s="72"/>
      <c r="J93" s="16">
        <v>4236240</v>
      </c>
      <c r="K93" s="22" t="s">
        <v>279</v>
      </c>
    </row>
    <row r="94" spans="2:11" ht="38" thickBot="1" x14ac:dyDescent="0.3">
      <c r="B94" s="71" t="s">
        <v>280</v>
      </c>
      <c r="C94" s="72"/>
      <c r="D94" s="72" t="s">
        <v>280</v>
      </c>
      <c r="E94" s="72"/>
      <c r="F94" s="72"/>
      <c r="G94" s="72" t="s">
        <v>281</v>
      </c>
      <c r="H94" s="72"/>
      <c r="I94" s="72"/>
      <c r="J94" s="16">
        <v>4444</v>
      </c>
      <c r="K94" s="22" t="s">
        <v>282</v>
      </c>
    </row>
    <row r="95" spans="2:11" ht="38" thickBot="1" x14ac:dyDescent="0.3">
      <c r="B95" s="71" t="s">
        <v>283</v>
      </c>
      <c r="C95" s="72"/>
      <c r="D95" s="72" t="s">
        <v>283</v>
      </c>
      <c r="E95" s="72"/>
      <c r="F95" s="72"/>
      <c r="G95" s="72" t="s">
        <v>284</v>
      </c>
      <c r="H95" s="72"/>
      <c r="I95" s="72"/>
      <c r="J95" s="16">
        <v>11111</v>
      </c>
      <c r="K95" s="22" t="s">
        <v>285</v>
      </c>
    </row>
    <row r="96" spans="2:11" ht="38" thickBot="1" x14ac:dyDescent="0.3">
      <c r="B96" s="71" t="s">
        <v>286</v>
      </c>
      <c r="C96" s="72"/>
      <c r="D96" s="72" t="s">
        <v>287</v>
      </c>
      <c r="E96" s="72"/>
      <c r="F96" s="72"/>
      <c r="G96" s="72" t="s">
        <v>288</v>
      </c>
      <c r="H96" s="72"/>
      <c r="I96" s="72"/>
      <c r="J96" s="16">
        <v>51311</v>
      </c>
      <c r="K96" s="22" t="s">
        <v>289</v>
      </c>
    </row>
    <row r="97" spans="2:11" ht="38" thickBot="1" x14ac:dyDescent="0.3">
      <c r="B97" s="71" t="s">
        <v>290</v>
      </c>
      <c r="C97" s="72"/>
      <c r="D97" s="72" t="s">
        <v>291</v>
      </c>
      <c r="E97" s="72"/>
      <c r="F97" s="72"/>
      <c r="G97" s="72" t="s">
        <v>292</v>
      </c>
      <c r="H97" s="72"/>
      <c r="I97" s="72"/>
      <c r="J97" s="18">
        <v>88</v>
      </c>
      <c r="K97" s="22" t="s">
        <v>293</v>
      </c>
    </row>
    <row r="98" spans="2:11" ht="38" thickBot="1" x14ac:dyDescent="0.3">
      <c r="B98" s="71" t="s">
        <v>294</v>
      </c>
      <c r="C98" s="72"/>
      <c r="D98" s="72" t="s">
        <v>294</v>
      </c>
      <c r="E98" s="72"/>
      <c r="F98" s="72"/>
      <c r="G98" s="72" t="s">
        <v>295</v>
      </c>
      <c r="H98" s="72"/>
      <c r="I98" s="72"/>
      <c r="J98" s="16">
        <v>52000</v>
      </c>
      <c r="K98" s="22" t="s">
        <v>296</v>
      </c>
    </row>
    <row r="99" spans="2:11" ht="38" thickBot="1" x14ac:dyDescent="0.3">
      <c r="B99" s="71" t="s">
        <v>297</v>
      </c>
      <c r="C99" s="72"/>
      <c r="D99" s="72" t="s">
        <v>297</v>
      </c>
      <c r="E99" s="72"/>
      <c r="F99" s="72"/>
      <c r="G99" s="72" t="s">
        <v>298</v>
      </c>
      <c r="H99" s="72"/>
      <c r="I99" s="72"/>
      <c r="J99" s="16">
        <v>51311</v>
      </c>
      <c r="K99" s="22" t="s">
        <v>299</v>
      </c>
    </row>
    <row r="100" spans="2:11" ht="38" thickBot="1" x14ac:dyDescent="0.3">
      <c r="B100" s="71" t="s">
        <v>300</v>
      </c>
      <c r="C100" s="72"/>
      <c r="D100" s="72" t="s">
        <v>301</v>
      </c>
      <c r="E100" s="72"/>
      <c r="F100" s="72"/>
      <c r="G100" s="72" t="s">
        <v>302</v>
      </c>
      <c r="H100" s="72"/>
      <c r="I100" s="72"/>
      <c r="J100" s="16">
        <v>51311</v>
      </c>
      <c r="K100" s="22" t="s">
        <v>303</v>
      </c>
    </row>
    <row r="101" spans="2:11" ht="38" thickBot="1" x14ac:dyDescent="0.3">
      <c r="B101" s="71" t="s">
        <v>304</v>
      </c>
      <c r="C101" s="72"/>
      <c r="D101" s="72" t="s">
        <v>304</v>
      </c>
      <c r="E101" s="72"/>
      <c r="F101" s="72"/>
      <c r="G101" s="72" t="s">
        <v>305</v>
      </c>
      <c r="H101" s="72"/>
      <c r="I101" s="72"/>
      <c r="J101" s="16">
        <v>51311</v>
      </c>
      <c r="K101" s="22" t="s">
        <v>306</v>
      </c>
    </row>
    <row r="102" spans="2:11" ht="38" thickBot="1" x14ac:dyDescent="0.3">
      <c r="B102" s="71" t="s">
        <v>307</v>
      </c>
      <c r="C102" s="72"/>
      <c r="D102" s="72" t="s">
        <v>308</v>
      </c>
      <c r="E102" s="72"/>
      <c r="F102" s="72"/>
      <c r="G102" s="72" t="s">
        <v>309</v>
      </c>
      <c r="H102" s="72"/>
      <c r="I102" s="72"/>
      <c r="J102" s="18">
        <v>75</v>
      </c>
      <c r="K102" s="22" t="s">
        <v>310</v>
      </c>
    </row>
    <row r="103" spans="2:11" ht="38" thickBot="1" x14ac:dyDescent="0.3">
      <c r="B103" s="71" t="s">
        <v>311</v>
      </c>
      <c r="C103" s="72"/>
      <c r="D103" s="72" t="s">
        <v>311</v>
      </c>
      <c r="E103" s="72"/>
      <c r="F103" s="72"/>
      <c r="G103" s="72" t="s">
        <v>312</v>
      </c>
      <c r="H103" s="72"/>
      <c r="I103" s="72"/>
      <c r="J103" s="16">
        <v>55000</v>
      </c>
      <c r="K103" s="22" t="s">
        <v>313</v>
      </c>
    </row>
    <row r="104" spans="2:11" ht="38" thickBot="1" x14ac:dyDescent="0.3">
      <c r="B104" s="71" t="s">
        <v>314</v>
      </c>
      <c r="C104" s="72"/>
      <c r="D104" s="72" t="s">
        <v>314</v>
      </c>
      <c r="E104" s="72"/>
      <c r="F104" s="72"/>
      <c r="G104" s="72" t="s">
        <v>315</v>
      </c>
      <c r="H104" s="72"/>
      <c r="I104" s="72"/>
      <c r="J104" s="16">
        <v>55000</v>
      </c>
      <c r="K104" s="22" t="s">
        <v>316</v>
      </c>
    </row>
    <row r="105" spans="2:11" ht="38" thickBot="1" x14ac:dyDescent="0.3">
      <c r="B105" s="71" t="s">
        <v>317</v>
      </c>
      <c r="C105" s="72"/>
      <c r="D105" s="72" t="s">
        <v>317</v>
      </c>
      <c r="E105" s="72"/>
      <c r="F105" s="72"/>
      <c r="G105" s="72" t="s">
        <v>318</v>
      </c>
      <c r="H105" s="72"/>
      <c r="I105" s="72"/>
      <c r="J105" s="16">
        <v>100000</v>
      </c>
      <c r="K105" s="22" t="s">
        <v>319</v>
      </c>
    </row>
    <row r="106" spans="2:11" ht="38" thickBot="1" x14ac:dyDescent="0.3">
      <c r="B106" s="71" t="s">
        <v>317</v>
      </c>
      <c r="C106" s="72"/>
      <c r="D106" s="72" t="s">
        <v>317</v>
      </c>
      <c r="E106" s="72"/>
      <c r="F106" s="72"/>
      <c r="G106" s="72" t="s">
        <v>320</v>
      </c>
      <c r="H106" s="72"/>
      <c r="I106" s="72"/>
      <c r="J106" s="16">
        <v>55000</v>
      </c>
      <c r="K106" s="22" t="s">
        <v>321</v>
      </c>
    </row>
    <row r="107" spans="2:11" ht="38" thickBot="1" x14ac:dyDescent="0.3">
      <c r="B107" s="71" t="s">
        <v>322</v>
      </c>
      <c r="C107" s="72"/>
      <c r="D107" s="72" t="s">
        <v>323</v>
      </c>
      <c r="E107" s="72"/>
      <c r="F107" s="72"/>
      <c r="G107" s="72" t="s">
        <v>324</v>
      </c>
      <c r="H107" s="72"/>
      <c r="I107" s="72"/>
      <c r="J107" s="18">
        <v>157</v>
      </c>
      <c r="K107" s="22" t="s">
        <v>325</v>
      </c>
    </row>
    <row r="108" spans="2:11" ht="38" thickBot="1" x14ac:dyDescent="0.3">
      <c r="B108" s="71" t="s">
        <v>326</v>
      </c>
      <c r="C108" s="72"/>
      <c r="D108" s="72" t="s">
        <v>326</v>
      </c>
      <c r="E108" s="72"/>
      <c r="F108" s="72"/>
      <c r="G108" s="72" t="s">
        <v>327</v>
      </c>
      <c r="H108" s="72"/>
      <c r="I108" s="72"/>
      <c r="J108" s="18">
        <v>100</v>
      </c>
      <c r="K108" s="22" t="s">
        <v>328</v>
      </c>
    </row>
    <row r="109" spans="2:11" ht="38" thickBot="1" x14ac:dyDescent="0.3">
      <c r="B109" s="71" t="s">
        <v>329</v>
      </c>
      <c r="C109" s="72"/>
      <c r="D109" s="72" t="s">
        <v>329</v>
      </c>
      <c r="E109" s="72"/>
      <c r="F109" s="72"/>
      <c r="G109" s="72" t="s">
        <v>330</v>
      </c>
      <c r="H109" s="72"/>
      <c r="I109" s="72"/>
      <c r="J109" s="16">
        <v>200000</v>
      </c>
      <c r="K109" s="22" t="s">
        <v>331</v>
      </c>
    </row>
    <row r="110" spans="2:11" ht="38" thickBot="1" x14ac:dyDescent="0.3">
      <c r="B110" s="71" t="s">
        <v>332</v>
      </c>
      <c r="C110" s="72"/>
      <c r="D110" s="72" t="s">
        <v>333</v>
      </c>
      <c r="E110" s="72"/>
      <c r="F110" s="72"/>
      <c r="G110" s="72" t="s">
        <v>334</v>
      </c>
      <c r="H110" s="72"/>
      <c r="I110" s="72"/>
      <c r="J110" s="18">
        <v>100</v>
      </c>
      <c r="K110" s="22" t="s">
        <v>335</v>
      </c>
    </row>
    <row r="111" spans="2:11" ht="38" thickBot="1" x14ac:dyDescent="0.3">
      <c r="B111" s="71" t="s">
        <v>336</v>
      </c>
      <c r="C111" s="72"/>
      <c r="D111" s="72" t="s">
        <v>337</v>
      </c>
      <c r="E111" s="72"/>
      <c r="F111" s="72"/>
      <c r="G111" s="72" t="s">
        <v>338</v>
      </c>
      <c r="H111" s="72"/>
      <c r="I111" s="72"/>
      <c r="J111" s="16">
        <v>4990.18</v>
      </c>
      <c r="K111" s="22" t="s">
        <v>339</v>
      </c>
    </row>
    <row r="112" spans="2:11" ht="38" thickBot="1" x14ac:dyDescent="0.3">
      <c r="B112" s="71" t="s">
        <v>340</v>
      </c>
      <c r="C112" s="72"/>
      <c r="D112" s="72" t="s">
        <v>340</v>
      </c>
      <c r="E112" s="72"/>
      <c r="F112" s="72"/>
      <c r="G112" s="72" t="s">
        <v>341</v>
      </c>
      <c r="H112" s="72"/>
      <c r="I112" s="72"/>
      <c r="J112" s="16">
        <v>55000</v>
      </c>
      <c r="K112" s="22" t="s">
        <v>342</v>
      </c>
    </row>
    <row r="113" spans="2:11" ht="38" thickBot="1" x14ac:dyDescent="0.3">
      <c r="B113" s="71" t="s">
        <v>343</v>
      </c>
      <c r="C113" s="72"/>
      <c r="D113" s="72" t="s">
        <v>344</v>
      </c>
      <c r="E113" s="72"/>
      <c r="F113" s="72"/>
      <c r="G113" s="72" t="s">
        <v>345</v>
      </c>
      <c r="H113" s="72"/>
      <c r="I113" s="72"/>
      <c r="J113" s="16">
        <v>5000</v>
      </c>
      <c r="K113" s="22" t="s">
        <v>346</v>
      </c>
    </row>
    <row r="114" spans="2:11" ht="38" thickBot="1" x14ac:dyDescent="0.3">
      <c r="B114" s="71" t="s">
        <v>347</v>
      </c>
      <c r="C114" s="72"/>
      <c r="D114" s="72" t="s">
        <v>347</v>
      </c>
      <c r="E114" s="72"/>
      <c r="F114" s="72"/>
      <c r="G114" s="72" t="s">
        <v>348</v>
      </c>
      <c r="H114" s="72"/>
      <c r="I114" s="72"/>
      <c r="J114" s="18">
        <v>4.72</v>
      </c>
      <c r="K114" s="22" t="s">
        <v>349</v>
      </c>
    </row>
    <row r="115" spans="2:11" ht="38" thickBot="1" x14ac:dyDescent="0.3">
      <c r="B115" s="71" t="s">
        <v>350</v>
      </c>
      <c r="C115" s="72"/>
      <c r="D115" s="72" t="s">
        <v>351</v>
      </c>
      <c r="E115" s="72"/>
      <c r="F115" s="72"/>
      <c r="G115" s="72" t="s">
        <v>352</v>
      </c>
      <c r="H115" s="72"/>
      <c r="I115" s="72"/>
      <c r="J115" s="16">
        <v>50000</v>
      </c>
      <c r="K115" s="22" t="s">
        <v>353</v>
      </c>
    </row>
    <row r="116" spans="2:11" ht="38" thickBot="1" x14ac:dyDescent="0.3">
      <c r="B116" s="71" t="s">
        <v>354</v>
      </c>
      <c r="C116" s="72"/>
      <c r="D116" s="72" t="s">
        <v>355</v>
      </c>
      <c r="E116" s="72"/>
      <c r="F116" s="72"/>
      <c r="G116" s="72" t="s">
        <v>356</v>
      </c>
      <c r="H116" s="72"/>
      <c r="I116" s="72"/>
      <c r="J116" s="16">
        <v>20000</v>
      </c>
      <c r="K116" s="22" t="s">
        <v>357</v>
      </c>
    </row>
    <row r="117" spans="2:11" ht="38" thickBot="1" x14ac:dyDescent="0.3">
      <c r="B117" s="71" t="s">
        <v>358</v>
      </c>
      <c r="C117" s="72"/>
      <c r="D117" s="72" t="s">
        <v>359</v>
      </c>
      <c r="E117" s="72"/>
      <c r="F117" s="72"/>
      <c r="G117" s="72" t="s">
        <v>360</v>
      </c>
      <c r="H117" s="72"/>
      <c r="I117" s="72"/>
      <c r="J117" s="18">
        <v>101</v>
      </c>
      <c r="K117" s="22" t="s">
        <v>361</v>
      </c>
    </row>
    <row r="118" spans="2:11" ht="38" thickBot="1" x14ac:dyDescent="0.3">
      <c r="B118" s="71" t="s">
        <v>362</v>
      </c>
      <c r="C118" s="72"/>
      <c r="D118" s="72" t="s">
        <v>362</v>
      </c>
      <c r="E118" s="72"/>
      <c r="F118" s="72"/>
      <c r="G118" s="72" t="s">
        <v>363</v>
      </c>
      <c r="H118" s="72"/>
      <c r="I118" s="72"/>
      <c r="J118" s="16">
        <v>20000</v>
      </c>
      <c r="K118" s="22" t="s">
        <v>364</v>
      </c>
    </row>
    <row r="119" spans="2:11" ht="38" thickBot="1" x14ac:dyDescent="0.3">
      <c r="B119" s="71" t="s">
        <v>365</v>
      </c>
      <c r="C119" s="72"/>
      <c r="D119" s="72" t="s">
        <v>365</v>
      </c>
      <c r="E119" s="72"/>
      <c r="F119" s="72"/>
      <c r="G119" s="72" t="s">
        <v>366</v>
      </c>
      <c r="H119" s="72"/>
      <c r="I119" s="72"/>
      <c r="J119" s="16">
        <v>50000</v>
      </c>
      <c r="K119" s="22" t="s">
        <v>367</v>
      </c>
    </row>
    <row r="120" spans="2:11" ht="38" thickBot="1" x14ac:dyDescent="0.3">
      <c r="B120" s="71" t="s">
        <v>368</v>
      </c>
      <c r="C120" s="72"/>
      <c r="D120" s="72" t="s">
        <v>368</v>
      </c>
      <c r="E120" s="72"/>
      <c r="F120" s="72"/>
      <c r="G120" s="72" t="s">
        <v>70</v>
      </c>
      <c r="H120" s="72"/>
      <c r="I120" s="72"/>
      <c r="J120" s="16">
        <v>7310797</v>
      </c>
      <c r="K120" s="22" t="s">
        <v>369</v>
      </c>
    </row>
    <row r="121" spans="2:11" ht="37.5" x14ac:dyDescent="0.25">
      <c r="B121" s="71" t="s">
        <v>370</v>
      </c>
      <c r="C121" s="72"/>
      <c r="D121" s="72" t="s">
        <v>370</v>
      </c>
      <c r="E121" s="72"/>
      <c r="F121" s="72"/>
      <c r="G121" s="72" t="s">
        <v>371</v>
      </c>
      <c r="H121" s="72"/>
      <c r="I121" s="72"/>
      <c r="J121" s="19">
        <v>7000</v>
      </c>
      <c r="K121" s="22" t="s">
        <v>372</v>
      </c>
    </row>
    <row r="123" spans="2:11" x14ac:dyDescent="0.25">
      <c r="J123" s="17">
        <f>SUM(J6:J121)</f>
        <v>32045127.140000001</v>
      </c>
    </row>
  </sheetData>
  <autoFilter ref="B4:AC121" xr:uid="{A19C46C8-2057-4A2D-A659-FCE83C9606C9}">
    <filterColumn colId="0" showButton="0"/>
    <filterColumn colId="2" showButton="0"/>
    <filterColumn colId="3" showButton="0"/>
    <filterColumn colId="5" showButton="0"/>
    <filterColumn colId="6" showButton="0"/>
    <filterColumn colId="8" showButton="0"/>
  </autoFilter>
  <mergeCells count="354">
    <mergeCell ref="B4:C4"/>
    <mergeCell ref="D4:F4"/>
    <mergeCell ref="G4:I4"/>
    <mergeCell ref="B5:C5"/>
    <mergeCell ref="D5:F5"/>
    <mergeCell ref="G5:I5"/>
    <mergeCell ref="B8:C8"/>
    <mergeCell ref="D8:F8"/>
    <mergeCell ref="G8:I8"/>
    <mergeCell ref="B9:C9"/>
    <mergeCell ref="D9:F9"/>
    <mergeCell ref="G9:I9"/>
    <mergeCell ref="B6:C6"/>
    <mergeCell ref="D6:F6"/>
    <mergeCell ref="G6:I6"/>
    <mergeCell ref="B7:C7"/>
    <mergeCell ref="D7:F7"/>
    <mergeCell ref="G7:I7"/>
    <mergeCell ref="B12:C12"/>
    <mergeCell ref="D12:F12"/>
    <mergeCell ref="G12:I12"/>
    <mergeCell ref="B13:C13"/>
    <mergeCell ref="D13:F13"/>
    <mergeCell ref="G13:I13"/>
    <mergeCell ref="B10:C10"/>
    <mergeCell ref="D10:F10"/>
    <mergeCell ref="G10:I10"/>
    <mergeCell ref="B11:C11"/>
    <mergeCell ref="D11:F11"/>
    <mergeCell ref="G11:I11"/>
    <mergeCell ref="B16:C16"/>
    <mergeCell ref="D16:F16"/>
    <mergeCell ref="G16:I16"/>
    <mergeCell ref="B17:C17"/>
    <mergeCell ref="D17:F17"/>
    <mergeCell ref="G17:I17"/>
    <mergeCell ref="B14:C14"/>
    <mergeCell ref="D14:F14"/>
    <mergeCell ref="G14:I14"/>
    <mergeCell ref="B15:C15"/>
    <mergeCell ref="D15:F15"/>
    <mergeCell ref="G15:I15"/>
    <mergeCell ref="B20:C20"/>
    <mergeCell ref="D20:F20"/>
    <mergeCell ref="G20:I20"/>
    <mergeCell ref="B21:C21"/>
    <mergeCell ref="D21:F21"/>
    <mergeCell ref="G21:I21"/>
    <mergeCell ref="B18:C18"/>
    <mergeCell ref="D18:F18"/>
    <mergeCell ref="G18:I18"/>
    <mergeCell ref="B19:C19"/>
    <mergeCell ref="D19:F19"/>
    <mergeCell ref="G19:I19"/>
    <mergeCell ref="B24:C24"/>
    <mergeCell ref="D24:F24"/>
    <mergeCell ref="G24:I24"/>
    <mergeCell ref="B25:C25"/>
    <mergeCell ref="D25:F25"/>
    <mergeCell ref="G25:I25"/>
    <mergeCell ref="B22:C22"/>
    <mergeCell ref="D22:F22"/>
    <mergeCell ref="G22:I22"/>
    <mergeCell ref="B23:C23"/>
    <mergeCell ref="D23:F23"/>
    <mergeCell ref="G23:I23"/>
    <mergeCell ref="B28:C28"/>
    <mergeCell ref="D28:F28"/>
    <mergeCell ref="G28:I28"/>
    <mergeCell ref="B29:C29"/>
    <mergeCell ref="D29:F29"/>
    <mergeCell ref="G29:I29"/>
    <mergeCell ref="B26:C26"/>
    <mergeCell ref="D26:F26"/>
    <mergeCell ref="G26:I26"/>
    <mergeCell ref="B27:C27"/>
    <mergeCell ref="D27:F27"/>
    <mergeCell ref="G27:I27"/>
    <mergeCell ref="B32:C32"/>
    <mergeCell ref="D32:F32"/>
    <mergeCell ref="G32:I32"/>
    <mergeCell ref="B33:C33"/>
    <mergeCell ref="D33:F33"/>
    <mergeCell ref="G33:I33"/>
    <mergeCell ref="B30:C30"/>
    <mergeCell ref="D30:F30"/>
    <mergeCell ref="G30:I30"/>
    <mergeCell ref="B31:C31"/>
    <mergeCell ref="D31:F31"/>
    <mergeCell ref="G31:I31"/>
    <mergeCell ref="B36:C36"/>
    <mergeCell ref="D36:F36"/>
    <mergeCell ref="G36:I36"/>
    <mergeCell ref="B37:C37"/>
    <mergeCell ref="D37:F37"/>
    <mergeCell ref="G37:I37"/>
    <mergeCell ref="B34:C34"/>
    <mergeCell ref="D34:F34"/>
    <mergeCell ref="G34:I34"/>
    <mergeCell ref="B35:C35"/>
    <mergeCell ref="D35:F35"/>
    <mergeCell ref="G35:I35"/>
    <mergeCell ref="B40:C40"/>
    <mergeCell ref="D40:F40"/>
    <mergeCell ref="G40:I40"/>
    <mergeCell ref="B41:C41"/>
    <mergeCell ref="D41:F41"/>
    <mergeCell ref="G41:I41"/>
    <mergeCell ref="B38:C38"/>
    <mergeCell ref="D38:F38"/>
    <mergeCell ref="G38:I38"/>
    <mergeCell ref="B39:C39"/>
    <mergeCell ref="D39:F39"/>
    <mergeCell ref="G39:I39"/>
    <mergeCell ref="B44:C44"/>
    <mergeCell ref="D44:F44"/>
    <mergeCell ref="G44:I44"/>
    <mergeCell ref="B45:C45"/>
    <mergeCell ref="D45:F45"/>
    <mergeCell ref="G45:I45"/>
    <mergeCell ref="B42:C42"/>
    <mergeCell ref="D42:F42"/>
    <mergeCell ref="G42:I42"/>
    <mergeCell ref="B43:C43"/>
    <mergeCell ref="D43:F43"/>
    <mergeCell ref="G43:I43"/>
    <mergeCell ref="B48:C48"/>
    <mergeCell ref="D48:F48"/>
    <mergeCell ref="G48:I48"/>
    <mergeCell ref="B49:C49"/>
    <mergeCell ref="D49:F49"/>
    <mergeCell ref="G49:I49"/>
    <mergeCell ref="B46:C46"/>
    <mergeCell ref="D46:F46"/>
    <mergeCell ref="G46:I46"/>
    <mergeCell ref="B47:C47"/>
    <mergeCell ref="D47:F47"/>
    <mergeCell ref="G47:I47"/>
    <mergeCell ref="B52:C52"/>
    <mergeCell ref="D52:F52"/>
    <mergeCell ref="G52:I52"/>
    <mergeCell ref="B53:C53"/>
    <mergeCell ref="D53:F53"/>
    <mergeCell ref="G53:I53"/>
    <mergeCell ref="B50:C50"/>
    <mergeCell ref="D50:F50"/>
    <mergeCell ref="G50:I50"/>
    <mergeCell ref="B51:C51"/>
    <mergeCell ref="D51:F51"/>
    <mergeCell ref="G51:I51"/>
    <mergeCell ref="B56:C56"/>
    <mergeCell ref="D56:F56"/>
    <mergeCell ref="G56:I56"/>
    <mergeCell ref="B57:C57"/>
    <mergeCell ref="D57:F57"/>
    <mergeCell ref="G57:I57"/>
    <mergeCell ref="B54:C54"/>
    <mergeCell ref="D54:F54"/>
    <mergeCell ref="G54:I54"/>
    <mergeCell ref="B55:C55"/>
    <mergeCell ref="D55:F55"/>
    <mergeCell ref="G55:I55"/>
    <mergeCell ref="B60:C60"/>
    <mergeCell ref="D60:F60"/>
    <mergeCell ref="G60:I60"/>
    <mergeCell ref="B61:C61"/>
    <mergeCell ref="D61:F61"/>
    <mergeCell ref="G61:I61"/>
    <mergeCell ref="B58:C58"/>
    <mergeCell ref="D58:F58"/>
    <mergeCell ref="G58:I58"/>
    <mergeCell ref="B59:C59"/>
    <mergeCell ref="D59:F59"/>
    <mergeCell ref="G59:I59"/>
    <mergeCell ref="B64:C64"/>
    <mergeCell ref="D64:F64"/>
    <mergeCell ref="G64:I64"/>
    <mergeCell ref="B65:C65"/>
    <mergeCell ref="D65:F65"/>
    <mergeCell ref="G65:I65"/>
    <mergeCell ref="B62:C62"/>
    <mergeCell ref="D62:F62"/>
    <mergeCell ref="G62:I62"/>
    <mergeCell ref="B63:C63"/>
    <mergeCell ref="D63:F63"/>
    <mergeCell ref="G63:I63"/>
    <mergeCell ref="B68:C68"/>
    <mergeCell ref="D68:F68"/>
    <mergeCell ref="G68:I68"/>
    <mergeCell ref="B69:C69"/>
    <mergeCell ref="D69:F69"/>
    <mergeCell ref="G69:I69"/>
    <mergeCell ref="B66:C66"/>
    <mergeCell ref="D66:F66"/>
    <mergeCell ref="G66:I66"/>
    <mergeCell ref="B67:C67"/>
    <mergeCell ref="D67:F67"/>
    <mergeCell ref="G67:I67"/>
    <mergeCell ref="B72:C72"/>
    <mergeCell ref="D72:F72"/>
    <mergeCell ref="G72:I72"/>
    <mergeCell ref="B73:C73"/>
    <mergeCell ref="D73:F73"/>
    <mergeCell ref="G73:I73"/>
    <mergeCell ref="B70:C70"/>
    <mergeCell ref="D70:F70"/>
    <mergeCell ref="G70:I70"/>
    <mergeCell ref="B71:C71"/>
    <mergeCell ref="D71:F71"/>
    <mergeCell ref="G71:I71"/>
    <mergeCell ref="B76:C76"/>
    <mergeCell ref="D76:F76"/>
    <mergeCell ref="G76:I76"/>
    <mergeCell ref="B77:C77"/>
    <mergeCell ref="D77:F77"/>
    <mergeCell ref="G77:I77"/>
    <mergeCell ref="B74:C74"/>
    <mergeCell ref="D74:F74"/>
    <mergeCell ref="G74:I74"/>
    <mergeCell ref="B75:C75"/>
    <mergeCell ref="D75:F75"/>
    <mergeCell ref="G75:I75"/>
    <mergeCell ref="B80:C80"/>
    <mergeCell ref="D80:F80"/>
    <mergeCell ref="G80:I80"/>
    <mergeCell ref="B81:C81"/>
    <mergeCell ref="D81:F81"/>
    <mergeCell ref="G81:I81"/>
    <mergeCell ref="B78:C78"/>
    <mergeCell ref="D78:F78"/>
    <mergeCell ref="G78:I78"/>
    <mergeCell ref="B79:C79"/>
    <mergeCell ref="D79:F79"/>
    <mergeCell ref="G79:I79"/>
    <mergeCell ref="B84:C84"/>
    <mergeCell ref="D84:F84"/>
    <mergeCell ref="G84:I84"/>
    <mergeCell ref="B85:C85"/>
    <mergeCell ref="D85:F85"/>
    <mergeCell ref="G85:I85"/>
    <mergeCell ref="B82:C82"/>
    <mergeCell ref="D82:F82"/>
    <mergeCell ref="G82:I82"/>
    <mergeCell ref="B83:C83"/>
    <mergeCell ref="D83:F83"/>
    <mergeCell ref="G83:I83"/>
    <mergeCell ref="B88:C88"/>
    <mergeCell ref="D88:F88"/>
    <mergeCell ref="G88:I88"/>
    <mergeCell ref="B89:C89"/>
    <mergeCell ref="D89:F89"/>
    <mergeCell ref="G89:I89"/>
    <mergeCell ref="B86:C86"/>
    <mergeCell ref="D86:F86"/>
    <mergeCell ref="G86:I86"/>
    <mergeCell ref="B87:C87"/>
    <mergeCell ref="D87:F87"/>
    <mergeCell ref="G87:I87"/>
    <mergeCell ref="B92:C92"/>
    <mergeCell ref="D92:F92"/>
    <mergeCell ref="G92:I92"/>
    <mergeCell ref="B93:C93"/>
    <mergeCell ref="D93:F93"/>
    <mergeCell ref="G93:I93"/>
    <mergeCell ref="B90:C90"/>
    <mergeCell ref="D90:F90"/>
    <mergeCell ref="G90:I90"/>
    <mergeCell ref="B91:C91"/>
    <mergeCell ref="D91:F91"/>
    <mergeCell ref="G91:I91"/>
    <mergeCell ref="B96:C96"/>
    <mergeCell ref="D96:F96"/>
    <mergeCell ref="G96:I96"/>
    <mergeCell ref="B97:C97"/>
    <mergeCell ref="D97:F97"/>
    <mergeCell ref="G97:I97"/>
    <mergeCell ref="B94:C94"/>
    <mergeCell ref="D94:F94"/>
    <mergeCell ref="G94:I94"/>
    <mergeCell ref="B95:C95"/>
    <mergeCell ref="D95:F95"/>
    <mergeCell ref="G95:I95"/>
    <mergeCell ref="B100:C100"/>
    <mergeCell ref="D100:F100"/>
    <mergeCell ref="G100:I100"/>
    <mergeCell ref="B101:C101"/>
    <mergeCell ref="D101:F101"/>
    <mergeCell ref="G101:I101"/>
    <mergeCell ref="B98:C98"/>
    <mergeCell ref="D98:F98"/>
    <mergeCell ref="G98:I98"/>
    <mergeCell ref="B99:C99"/>
    <mergeCell ref="D99:F99"/>
    <mergeCell ref="G99:I99"/>
    <mergeCell ref="B104:C104"/>
    <mergeCell ref="D104:F104"/>
    <mergeCell ref="G104:I104"/>
    <mergeCell ref="B105:C105"/>
    <mergeCell ref="D105:F105"/>
    <mergeCell ref="G105:I105"/>
    <mergeCell ref="B102:C102"/>
    <mergeCell ref="D102:F102"/>
    <mergeCell ref="G102:I102"/>
    <mergeCell ref="B103:C103"/>
    <mergeCell ref="D103:F103"/>
    <mergeCell ref="G103:I103"/>
    <mergeCell ref="B108:C108"/>
    <mergeCell ref="D108:F108"/>
    <mergeCell ref="G108:I108"/>
    <mergeCell ref="B109:C109"/>
    <mergeCell ref="D109:F109"/>
    <mergeCell ref="G109:I109"/>
    <mergeCell ref="B106:C106"/>
    <mergeCell ref="D106:F106"/>
    <mergeCell ref="G106:I106"/>
    <mergeCell ref="B107:C107"/>
    <mergeCell ref="D107:F107"/>
    <mergeCell ref="G107:I107"/>
    <mergeCell ref="B112:C112"/>
    <mergeCell ref="D112:F112"/>
    <mergeCell ref="G112:I112"/>
    <mergeCell ref="B113:C113"/>
    <mergeCell ref="D113:F113"/>
    <mergeCell ref="G113:I113"/>
    <mergeCell ref="B110:C110"/>
    <mergeCell ref="D110:F110"/>
    <mergeCell ref="G110:I110"/>
    <mergeCell ref="B111:C111"/>
    <mergeCell ref="D111:F111"/>
    <mergeCell ref="G111:I111"/>
    <mergeCell ref="B116:C116"/>
    <mergeCell ref="D116:F116"/>
    <mergeCell ref="G116:I116"/>
    <mergeCell ref="B117:C117"/>
    <mergeCell ref="D117:F117"/>
    <mergeCell ref="G117:I117"/>
    <mergeCell ref="B114:C114"/>
    <mergeCell ref="D114:F114"/>
    <mergeCell ref="G114:I114"/>
    <mergeCell ref="B115:C115"/>
    <mergeCell ref="D115:F115"/>
    <mergeCell ref="G115:I115"/>
    <mergeCell ref="B120:C120"/>
    <mergeCell ref="D120:F120"/>
    <mergeCell ref="G120:I120"/>
    <mergeCell ref="B121:C121"/>
    <mergeCell ref="D121:F121"/>
    <mergeCell ref="G121:I121"/>
    <mergeCell ref="B118:C118"/>
    <mergeCell ref="D118:F118"/>
    <mergeCell ref="G118:I118"/>
    <mergeCell ref="B119:C119"/>
    <mergeCell ref="D119:F119"/>
    <mergeCell ref="G119:I1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sheet</vt:lpstr>
      <vt:lpstr>Rest of the expenses by R</vt:lpstr>
      <vt:lpstr> EMI till May</vt:lpstr>
      <vt:lpstr>Rent&amp; utilities</vt:lpstr>
      <vt:lpstr>Maid salaries</vt:lpstr>
      <vt:lpstr>Oorvi's school</vt:lpstr>
      <vt:lpstr>EMI acc txn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Rupinder Saini</dc:creator>
  <cp:lastModifiedBy>Rupinder Saini</cp:lastModifiedBy>
  <dcterms:created xsi:type="dcterms:W3CDTF">2015-06-05T18:17:20Z</dcterms:created>
  <dcterms:modified xsi:type="dcterms:W3CDTF">2026-06-27T10:33:14Z</dcterms:modified>
</cp:coreProperties>
</file>